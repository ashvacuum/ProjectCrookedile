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947c59ae65446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af4815b6a0546e595035a2167f31a50.psmdcp" Id="Rd6987a223bf54b3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ADME" sheetId="1" r:id="rId2"/>
    <x:sheet name="Day Plan" sheetId="4" r:id="rId3"/>
    <x:sheet name="Encounters" sheetId="2" r:id="rId4"/>
    <x:sheet name="Event Options" sheetId="3" r:id="rId5"/>
    <x:sheet name="Reference" sheetId="5" r:id="rId6"/>
    <x:sheet name="Field Map" sheetId="6" r:id="rId7"/>
  </x:sheets>
  <x:definedNames/>
  <x:calcPr calcId="125725"/>
</x:workbook>
</file>

<file path=xl/calcChain.xml><?xml version="1.0" encoding="utf-8"?>
<x:calcChain xmlns:x="http://schemas.openxmlformats.org/spreadsheetml/2006/main">
  <x:c r="E4" i="4"/>
  <x:c r="F4" i="4"/>
  <x:c r="G4" i="4"/>
  <x:c r="H4" i="4"/>
  <x:c r="I4" i="4"/>
  <x:c r="E5" i="4"/>
  <x:c r="F5" i="4"/>
  <x:c r="G5" i="4"/>
  <x:c r="H5" i="4"/>
  <x:c r="I5" i="4"/>
  <x:c r="E6" i="4"/>
  <x:c r="F6" i="4"/>
  <x:c r="G6" i="4"/>
  <x:c r="H6" i="4"/>
  <x:c r="I6" i="4"/>
  <x:c r="E7" i="4"/>
  <x:c r="F7" i="4"/>
  <x:c r="G7" i="4"/>
  <x:c r="H7" i="4"/>
  <x:c r="I7" i="4"/>
  <x:c r="E8" i="4"/>
  <x:c r="F8" i="4"/>
  <x:c r="G8" i="4"/>
  <x:c r="H8" i="4"/>
  <x:c r="I8" i="4"/>
  <x:c r="E9" i="4"/>
  <x:c r="F9" i="4"/>
  <x:c r="G9" i="4"/>
  <x:c r="H9" i="4"/>
  <x:c r="I9" i="4"/>
  <x:c r="E10" i="4"/>
  <x:c r="F10" i="4"/>
  <x:c r="G10" i="4"/>
  <x:c r="H10" i="4"/>
  <x:c r="I10" i="4"/>
  <x:c r="E11" i="4"/>
  <x:c r="F11" i="4"/>
  <x:c r="G11" i="4"/>
</x:calcChain>
</file>

<file path=xl/sharedStrings.xml><?xml version="1.0" encoding="utf-8"?>
<x:sst xmlns:x="http://schemas.openxmlformats.org/spreadsheetml/2006/main">
  <x:si>
    <x:t>Crookedile — Campaign Ideation Sheet</x:t>
  </x:si>
  <x:si>
    <x:t>A week of campaign content, in the shape the code actually reads.</x:t>
  </x:si>
  <x:si>
    <x:t>How to use</x:t>
  </x:si>
  <x:si>
    <x:t>1. Fill in the Encounters tab — one row per encounter you want to exist.</x:t>
  </x:si>
  <x:si>
    <x:t>2. Fill in Event Options for every row whose Type is Event.</x:t>
  </x:si>
  <x:si>
    <x:t>3. Watch the Day Plan tab: it counts what is eligible each day and flags empty days.</x:t>
  </x:si>
  <x:si>
    <x:t>4. When a week reads well here, author the assets in Unity and check it in</x:t>
  </x:si>
  <x:si>
    <x:t xml:space="preserve">   Crookedile -&gt; Encounter Designer (Timeline + Dependencies tabs).</x:t>
  </x:si>
  <x:si>
    <x:t>Colour legend</x:t>
  </x:si>
  <x:si>
    <x:t>Yellow — you fill this in</x:t>
  </x:si>
  <x:si>
    <x:t>Grey — formula, leave alone</x:t>
  </x:si>
  <x:si>
    <x:t>Green — worked example row, overwrite when you start</x:t>
  </x:si>
  <x:si>
    <x:t>Every column maps to a real serialized field — see the Field Map tab for the exact class</x:t>
  </x:si>
  <x:si>
    <x:t>and field name, so nothing ideated here turns out to be unauthorable.</x:t>
  </x:si>
  <x:si>
    <x:t>Fixed facts about the system (as built)</x:t>
  </x:si>
  <x:si>
    <x:t>- A day offers CampaignFlow._locationsPerDay locations (default 3), drawn from the pool.</x:t>
  </x:si>
  <x:si>
    <x:t>- A day gives RunState.MaxHours hours (default 3). Each encounter costs HourCost.</x:t>
  </x:si>
  <x:si>
    <x:t>- The run ends when Day &gt; EncounterPoolData.Days (default 7).</x:t>
  </x:si>
  <x:si>
    <x:t>- Guaranteed entries always appear in their window, ahead of the random picks.</x:t>
  </x:si>
  <x:si>
    <x:t>- OncePerRun entries are excluded once visited; others can repeat.</x:t>
  </x:si>
  <x:si>
    <x:t>- Chaining is a property of a CHOICE only (GoToEncounterOutcome on an EventOption).</x:t>
  </x:si>
  <x:si>
    <x:t xml:space="preserve">  Encounters have no unconditional 'and then'.</x:t>
  </x:si>
  <x:si>
    <x:t>- The target's TYPE decides what a chain does: point it at a Battle to start a fight.</x:t>
  </x:si>
  <x:si>
    <x:t>Encounters</x:t>
  </x:si>
  <x:si>
    <x:t>One row per encounter asset. Columns map 1:1 to EncounterData + EncounterPoolEntry — see Field Map.</x:t>
  </x:si>
  <x:si>
    <x:t>Asset Name</x:t>
  </x:si>
  <x:si>
    <x:t>Display Name</x:t>
  </x:si>
  <x:si>
    <x:t>Type</x:t>
  </x:si>
  <x:si>
    <x:t>Blurb (one line, shown under the button)</x:t>
  </x:si>
  <x:si>
    <x:t>Hour Cost</x:t>
  </x:si>
  <x:si>
    <x:t>First Day</x:t>
  </x:si>
  <x:si>
    <x:t>Last Day (0=open)</x:t>
  </x:si>
  <x:si>
    <x:t>Drop Weight</x:t>
  </x:si>
  <x:si>
    <x:t>Pool Weight (-1=inherit)</x:t>
  </x:si>
  <x:si>
    <x:t>Once Per Run</x:t>
  </x:si>
  <x:si>
    <x:t>Guaranteed</x:t>
  </x:si>
  <x:si>
    <x:t>Is Boss</x:t>
  </x:si>
  <x:si>
    <x:t>Enemies / Session</x:t>
  </x:si>
  <x:si>
    <x:t>Requirements (hard gate)</x:t>
  </x:si>
  <x:si>
    <x:t>Boost If</x:t>
  </x:si>
  <x:si>
    <x:t>Boost x</x:t>
  </x:si>
  <x:si>
    <x:t>Notes</x:t>
  </x:si>
  <x:si>
    <x:t>Enc_PlazaHecklers</x:t>
  </x:si>
  <x:si>
    <x:t>Hecklers at the Plaza</x:t>
  </x:si>
  <x:si>
    <x:t>Battle</x:t>
  </x:si>
  <x:si>
    <x:t>A knot of paid hecklers is working the crowd before you even speak.</x:t>
  </x:si>
  <x:si>
    <x:t>TRUE</x:t>
  </x:si>
  <x:si>
    <x:t>FALSE</x:t>
  </x:si>
  <x:si>
    <x:t>2x Heckler, 1x Swing Voter</x:t>
  </x:si>
  <x:si>
    <x:t/>
  </x:si>
  <x:si>
    <x:t>Day-1 opener. Guaranteed so the run always starts on a fight.</x:t>
  </x:si>
  <x:si>
    <x:t>Event Options</x:t>
  </x:si>
  <x:si>
    <x:t>One row per option on an Event. Requirements gate it (shown disabled with the reason); Outcomes apply on pick.</x:t>
  </x:si>
  <x:si>
    <x:t>Event (Asset Name)</x:t>
  </x:si>
  <x:si>
    <x:t>Option Label</x:t>
  </x:si>
  <x:si>
    <x:t>Requirements</x:t>
  </x:si>
  <x:si>
    <x:t>Outcomes</x:t>
  </x:si>
  <x:si>
    <x:t>Leads To (chain target)</x:t>
  </x:si>
  <x:si>
    <x:t>Result Text</x:t>
  </x:si>
  <x:si>
    <x:t>Enc_FixerOffer</x:t>
  </x:si>
  <x:si>
    <x:t>Take the envelope</x:t>
  </x:si>
  <x:si>
    <x:t>AdjustFunds +200; AdjustCredibility -1</x:t>
  </x:si>
  <x:si>
    <x:t>You do not count it. That would be rude.</x:t>
  </x:si>
  <x:si>
    <x:t>The easy option always costs Credibility.</x:t>
  </x:si>
  <x:si>
    <x:t>Refuse him, loudly</x:t>
  </x:si>
  <x:si>
    <x:t>AdjustCredibility +1; GoToEncounter</x:t>
  </x:si>
  <x:si>
    <x:t>Enc_FixersMen</x:t>
  </x:si>
  <x:si>
    <x:t>He smiles, and makes a call. They are waiting outside.</x:t>
  </x:si>
  <x:si>
    <x:t>Chain into a Battle — this is how an event starts a fight.</x:t>
  </x:si>
  <x:si>
    <x:t>Remind him what he owes you</x:t>
  </x:si>
  <x:si>
    <x:t>HasVisitedEncounter: Enc_PlazaHecklers</x:t>
  </x:si>
  <x:si>
    <x:t>AdjustFunds +400</x:t>
  </x:si>
  <x:si>
    <x:t>He stops smiling. He pays.</x:t>
  </x:si>
  <x:si>
    <x:t>Gated option — locked until the player has done the earlier encounter.</x:t>
  </x:si>
  <x:si>
    <x:t>Day Plan — the week at a glance</x:t>
  </x:si>
  <x:si>
    <x:t>Columns E-I are formulas over the Encounters tab. Coverage flags any day the pool cannot fill.</x:t>
  </x:si>
  <x:si>
    <x:t>Day</x:t>
  </x:si>
  <x:si>
    <x:t>Beat / what this day is for</x:t>
  </x:si>
  <x:si>
    <x:t>Locations Offered</x:t>
  </x:si>
  <x:si>
    <x:t>Hours</x:t>
  </x:si>
  <x:si>
    <x:t>Eligible</x:t>
  </x:si>
  <x:si>
    <x:t>Battles</x:t>
  </x:si>
  <x:si>
    <x:t>Events</x:t>
  </x:si>
  <x:si>
    <x:t>Coverage</x:t>
  </x:si>
  <x:si>
    <x:t>Notes / intent</x:t>
  </x:si>
  <x:si>
    <x:t>Opening — teach the loop, one clean fight</x:t>
  </x:si>
  <x:si>
    <x:t>Guarantee the opener. New players should not roll a dud first day.</x:t>
  </x:si>
  <x:si>
    <x:t>First real choice — an event with a cost either way</x:t>
  </x:si>
  <x:si>
    <x:t>Introduce Funds/Credibility as a tradeoff before anything gates on them.</x:t>
  </x:si>
  <x:si>
    <x:t>Midpoint — the consequence of day 2 lands</x:t>
  </x:si>
  <x:si>
    <x:t>Good day for a HasVisitedEncounter gate to pay off.</x:t>
  </x:si>
  <x:si>
    <x:t>Pressure — hardest non-boss day</x:t>
  </x:si>
  <x:si>
    <x:t>Deck should be big enough that a hard fight is winnable but not free.</x:t>
  </x:si>
  <x:si>
    <x:t>Election Day — the boss</x:t>
  </x:si>
  <x:si>
    <x:t>Guaranteed boss. End Day is replaced by 'Face the boss' — the finale can't be skipped.</x:t>
  </x:si>
  <x:si>
    <x:t>Total encounters authored</x:t>
  </x:si>
  <x:si>
    <x:t>A day the player can actually fill needs Eligible &gt;= Locations Offered, or the same</x:t>
  </x:si>
  <x:si>
    <x:t>encounters repeat. OncePerRun entries drop out of the pool once visited, so later days</x:t>
  </x:si>
  <x:si>
    <x:t>need MORE authored content than early ones, not less.</x:t>
  </x:si>
  <x:si>
    <x:t>Hours are the real budget: 3 hours vs 3 locations at 1h each means the player clears the</x:t>
  </x:si>
  <x:si>
    <x:t>day. Make a location cost 2h and the day becomes a choice instead of a checklist.</x:t>
  </x:si>
  <x:si>
    <x:t>Reference — what you can actually author</x:t>
  </x:si>
  <x:si>
    <x:t>The complete set of RunOutcome and RunRequirement types as built. Anything not here needs new code.</x:t>
  </x:si>
  <x:si>
    <x:t>Kind</x:t>
  </x:si>
  <x:si>
    <x:t>Type name (as it appears in Unity)</x:t>
  </x:si>
  <x:si>
    <x:t>What it does</x:t>
  </x:si>
  <x:si>
    <x:t>Authoring note</x:t>
  </x:si>
  <x:si>
    <x:t>Outcome</x:t>
  </x:si>
  <x:si>
    <x:t>AdjustFundsOutcome</x:t>
  </x:si>
  <x:si>
    <x:t>Signed change to Funds, clamped at zero.</x:t>
  </x:si>
  <x:si>
    <x:t>Signed — an option can cost money.</x:t>
  </x:si>
  <x:si>
    <x:t>AdjustCredibilityOutcome</x:t>
  </x:si>
  <x:si>
    <x:t>Signed change to Credibility.</x:t>
  </x:si>
  <x:si>
    <x:t>Credibility is a meta axis, not a battle one.</x:t>
  </x:si>
  <x:si>
    <x:t>GainCardOutcome</x:t>
  </x:si>
  <x:si>
    <x:t>Adds a specific card to the deck.</x:t>
  </x:si>
  <x:si>
    <x:t>Pick the card asset directly.</x:t>
  </x:si>
  <x:si>
    <x:t>GainRandomCardOutcome</x:t>
  </x:si>
  <x:si>
    <x:t>Adds a random card, filterable.</x:t>
  </x:si>
  <x:si>
    <x:t>Uses RunState.Rng — seed-reproducible.</x:t>
  </x:si>
  <x:si>
    <x:t>RemoveCardOutcome</x:t>
  </x:si>
  <x:si>
    <x:t>Removes a specific card.</x:t>
  </x:si>
  <x:si>
    <x:t>No-ops if the deck doesn't have it.</x:t>
  </x:si>
  <x:si>
    <x:t>UpgradeRandomCardOutcome</x:t>
  </x:si>
  <x:si>
    <x:t>Upgrades a random upgradeable card.</x:t>
  </x:si>
  <x:si>
    <x:t>Silent no-op if everything is upgraded.</x:t>
  </x:si>
  <x:si>
    <x:t>UpgradeChosenCardOutcome</x:t>
  </x:si>
  <x:si>
    <x:t>Opens a picker; player upgrades one.</x:t>
  </x:si>
  <x:si>
    <x:t>Picker won't open on an empty candidate list.</x:t>
  </x:si>
  <x:si>
    <x:t>RemoveChosenCardOutcome</x:t>
  </x:si>
  <x:si>
    <x:t>Opens a picker; player removes one.</x:t>
  </x:si>
  <x:si>
    <x:t>Optionally restricted by CardType.</x:t>
  </x:si>
  <x:si>
    <x:t>GoToEncounterOutcome</x:t>
  </x:si>
  <x:si>
    <x:t>Chains straight into another encounter.</x:t>
  </x:si>
  <x:si>
    <x:t>TARGET TYPE DECIDES: a Battle target starts a fight. This is the only way an event starts a battle.</x:t>
  </x:si>
  <x:si>
    <x:t>GrantRelicOutcome</x:t>
  </x:si>
  <x:si>
    <x:t>Grants a relic. Duplicates ignored.</x:t>
  </x:si>
  <x:si>
    <x:t>Relic runtime is built; 5 prototypes exist.</x:t>
  </x:si>
  <x:si>
    <x:t>Requirement</x:t>
  </x:si>
  <x:si>
    <x:t>HasVisitedEncounter</x:t>
  </x:si>
  <x:si>
    <x:t>True once a given encounter has been resolved.</x:t>
  </x:si>
  <x:si>
    <x:t>The backbone of unlock chains.</x:t>
  </x:si>
  <x:si>
    <x:t>FundsAtLeast</x:t>
  </x:si>
  <x:si>
    <x:t>Funds &gt;= N.</x:t>
  </x:si>
  <x:si>
    <x:t>Gate the bribe options.</x:t>
  </x:si>
  <x:si>
    <x:t>CredibilityAtLeast</x:t>
  </x:si>
  <x:si>
    <x:t>Credibility &gt;= N.</x:t>
  </x:si>
  <x:si>
    <x:t>Gate the options only a clean politician gets.</x:t>
  </x:si>
  <x:si>
    <x:t>HasRelic</x:t>
  </x:si>
  <x:si>
    <x:t>Run holds a specific relic.</x:t>
  </x:si>
  <x:si>
    <x:t>DayAtLeast</x:t>
  </x:si>
  <x:si>
    <x:t>Day &gt;= N.</x:t>
  </x:si>
  <x:si>
    <x:t>Prefer the pool's First/Last Day for pure timing.</x:t>
  </x:si>
  <x:si>
    <x:t>(Negate toggle)</x:t>
  </x:si>
  <x:si>
    <x:t>Any requirement can be inverted in place.</x:t>
  </x:si>
  <x:si>
    <x:t>Mutually exclusive branches cost no extra type.</x:t>
  </x:si>
  <x:si>
    <x:t>Where used</x:t>
  </x:si>
  <x:si>
    <x:t>Pool entry Requirements</x:t>
  </x:si>
  <x:si>
    <x:t>HARD gate — encounter can't appear at all.</x:t>
  </x:si>
  <x:si>
    <x:t>Solid arrow in the Dependencies tab.</x:t>
  </x:si>
  <x:si>
    <x:t>Pool entry BoostIf</x:t>
  </x:si>
  <x:si>
    <x:t>SOFT — multiplies draw weight by Boost x.</x:t>
  </x:si>
  <x:si>
    <x:t>Dotted arrow in the Dependencies tab.</x:t>
  </x:si>
  <x:si>
    <x:t>EventOption Requirements</x:t>
  </x:si>
  <x:si>
    <x:t>Option renders disabled, with the reason.</x:t>
  </x:si>
  <x:si>
    <x:t>Locked options stay visible — a gated event shouldn't read as a shorter event.</x:t>
  </x:si>
  <x:si>
    <x:t>Field Map — sheet column to C# field</x:t>
  </x:si>
  <x:si>
    <x:t>So a filled-in row can be typed into the Unity inspector without guessing.</x:t>
  </x:si>
  <x:si>
    <x:t>Sheet</x:t>
  </x:si>
  <x:si>
    <x:t>Column</x:t>
  </x:si>
  <x:si>
    <x:t>C# class</x:t>
  </x:si>
  <x:si>
    <x:t>Serialized field</x:t>
  </x:si>
  <x:si>
    <x:t>Note</x:t>
  </x:si>
  <x:si>
    <x:t>(the .asset filename)</x:t>
  </x:si>
  <x:si>
    <x:t>—</x:t>
  </x:si>
  <x:si>
    <x:t>ID is a GUID auto-generated on create; you never type it.</x:t>
  </x:si>
  <x:si>
    <x:t>EncounterData</x:t>
  </x:si>
  <x:si>
    <x:t>_displayName</x:t>
  </x:si>
  <x:si>
    <x:t>Falls back to asset name when blank.</x:t>
  </x:si>
  <x:si>
    <x:t>Blurb</x:t>
  </x:si>
  <x:si>
    <x:t>_blurb</x:t>
  </x:si>
  <x:si>
    <x:t>Rendered under the location button.</x:t>
  </x:si>
  <x:si>
    <x:t>_hourCost</x:t>
  </x:si>
  <x:si>
    <x:t>Default 1. Above the player's Hours = shown disabled.</x:t>
  </x:si>
  <x:si>
    <x:t>_dropWeight</x:t>
  </x:si>
  <x:si>
    <x:t>The encounter's own chance. 0 or less = never drawn.</x:t>
  </x:si>
  <x:si>
    <x:t>(subclass)</x:t>
  </x:si>
  <x:si>
    <x:t>BattleEncounterData or EventEncounterData.</x:t>
  </x:si>
  <x:si>
    <x:t>BattleEncounterData</x:t>
  </x:si>
  <x:si>
    <x:t>_session</x:t>
  </x:si>
  <x:si>
    <x:t>A BattleSession. No session = the encounter refuses to start.</x:t>
  </x:si>
  <x:si>
    <x:t>_isBoss</x:t>
  </x:si>
  <x:si>
    <x:t>Replaces End Day with 'Face the boss' on that day.</x:t>
  </x:si>
  <x:si>
    <x:t>First / Last Day</x:t>
  </x:si>
  <x:si>
    <x:t>EncounterPoolEntry</x:t>
  </x:si>
  <x:si>
    <x:t>_firstDay / _lastDay</x:t>
  </x:si>
  <x:si>
    <x:t>Last Day 0 = open-ended.</x:t>
  </x:si>
  <x:si>
    <x:t>Pool Weight</x:t>
  </x:si>
  <x:si>
    <x:t>_weight</x:t>
  </x:si>
  <x:si>
    <x:t>-1 = inherit the encounter's own Drop Weight.</x:t>
  </x:si>
  <x:si>
    <x:t>_oncePerRun</x:t>
  </x:si>
  <x:si>
    <x:t>Default TRUE. Excluded once visited.</x:t>
  </x:si>
  <x:si>
    <x:t>_guaranteed</x:t>
  </x:si>
  <x:si>
    <x:t>Always appears in its window, ahead of random picks.</x:t>
  </x:si>
  <x:si>
    <x:t>_requirements</x:t>
  </x:si>
  <x:si>
    <x:t>ALL must hold or it can't appear.</x:t>
  </x:si>
  <x:si>
    <x:t>Boost If / Boost x</x:t>
  </x:si>
  <x:si>
    <x:t>_boostIf / _boostMultiplier</x:t>
  </x:si>
  <x:si>
    <x:t>Soft nudge, default 2x.</x:t>
  </x:si>
  <x:si>
    <x:t>EventOption</x:t>
  </x:si>
  <x:si>
    <x:t>_label</x:t>
  </x:si>
  <x:si>
    <x:t>The button text.</x:t>
  </x:si>
  <x:si>
    <x:t>Disabled + reason when unmet, never hidden.</x:t>
  </x:si>
  <x:si>
    <x:t>_outcomes</x:t>
  </x:si>
  <x:si>
    <x:t>Applied in order on pick.</x:t>
  </x:si>
  <x:si>
    <x:t>_resultText</x:t>
  </x:si>
  <x:si>
    <x:t>Shown before returning to the map.</x:t>
  </x:si>
  <x:si>
    <x:t>Leads To</x:t>
  </x:si>
  <x:si>
    <x:t>_encounter</x:t>
  </x:si>
  <x:si>
    <x:t>One of the Outcomes. Target type decides battle vs event.</x:t>
  </x:si>
  <x:si>
    <x:t>Day Plan</x:t>
  </x:si>
  <x:si>
    <x:t>CampaignFlow</x:t>
  </x:si>
  <x:si>
    <x:t>_locationsPerDay</x:t>
  </x:si>
  <x:si>
    <x:t>Inspector field on the CampaignFlow object. Default 3.</x:t>
  </x:si>
  <x:si>
    <x:t>RunState</x:t>
  </x:si>
  <x:si>
    <x:t>MaxHours</x:t>
  </x:si>
  <x:si>
    <x:t>Set from CampaignFlow._maxHours when the run is created.</x:t>
  </x:si>
  <x:si>
    <x:t>Day count (7)</x:t>
  </x:si>
  <x:si>
    <x:t>EncounterPoolData</x:t>
  </x:si>
  <x:si>
    <x:t>_days</x:t>
  </x:si>
  <x:si>
    <x:t>Run ends when Day exceeds this.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</x:si>
</x:sst>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Arial"/>
      <x:family val="2"/>
    </x:font>
    <x:font>
      <x:b/>
      <x:vertAlign val="baseline"/>
      <x:sz val="14"/>
      <x:color rgb="FF1F3350"/>
      <x:name val="Arial"/>
      <x:family val="2"/>
    </x:font>
    <x:font>
      <x:i/>
      <x:vertAlign val="baseline"/>
      <x:sz val="9"/>
      <x:color rgb="FF555555"/>
      <x:name val="Arial"/>
      <x:family val="2"/>
    </x:font>
    <x:font>
      <x:b/>
      <x:vertAlign val="baseline"/>
      <x:sz val="10"/>
      <x:color rgb="FF000000"/>
      <x:name val="Arial"/>
      <x:family val="2"/>
    </x:font>
    <x:font>
      <x:vertAlign val="baseline"/>
      <x:sz val="10"/>
      <x:color rgb="FF000000"/>
      <x:name val="Arial"/>
      <x:family val="2"/>
    </x:font>
    <x:font>
      <x:b/>
      <x:vertAlign val="baseline"/>
      <x:sz val="10"/>
      <x:color rgb="FFFFFFFF"/>
      <x:name val="Arial"/>
      <x:family val="2"/>
    </x:font>
  </x:fonts>
  <x:fills count="7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EFEFEF"/>
      </x:patternFill>
    </x:fill>
    <x:fill>
      <x:patternFill patternType="solid">
        <x:fgColor rgb="FFE2F0D9"/>
      </x:patternFill>
    </x:fill>
    <x:fill>
      <x:patternFill patternType="solid">
        <x:fgColor rgb="FF1F3350"/>
      </x:patternFill>
    </x:fill>
    <x:fill>
      <x:patternFill patternType="solid">
        <x:fgColor rgb="FFE8ECF2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1" fillId="3" borderId="1" applyNumberFormat="1" applyFill="0" applyBorder="1" applyAlignment="1" applyProtection="1">
      <x:protection locked="1" hidden="0"/>
    </x:xf>
    <x:xf numFmtId="0" fontId="1" fillId="4" borderId="1" applyNumberFormat="1" applyFill="0" applyBorder="1" applyAlignment="1" applyProtection="1">
      <x:protection locked="1" hidden="0"/>
    </x:xf>
    <x:xf numFmtId="0" fontId="6" fillId="5" borderId="1" applyNumberFormat="1" applyFill="0" applyBorder="1" applyAlignment="1" applyProtection="1">
      <x:protection locked="1" hidden="0"/>
    </x:xf>
    <x:xf numFmtId="0" fontId="5" fillId="4" borderId="1" applyNumberFormat="1" applyFill="0" applyBorder="1" applyAlignment="1" applyProtection="1">
      <x:protection locked="1" hidden="0"/>
    </x:xf>
    <x:xf numFmtId="0" fontId="5" fillId="2" borderId="1" applyNumberFormat="1" applyFill="0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5" fillId="3" borderId="1" applyNumberFormat="1" applyFill="0" applyBorder="1" applyAlignment="1" applyProtection="1">
      <x:protection locked="1" hidden="0"/>
    </x:xf>
    <x:xf numFmtId="0" fontId="4" fillId="3" borderId="1" applyNumberFormat="1" applyFill="0" applyBorder="1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5" fillId="6" borderId="1" applyNumberFormat="1" applyFill="0" applyBorder="1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4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5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5" fillId="4" borderId="1" xfId="0" applyNumberFormat="1" applyFill="0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5" fillId="4" borderId="1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5" fillId="2" borderId="1" xfId="0" applyNumberFormat="1" applyFill="0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5" fillId="2" borderId="1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5" fillId="3" borderId="1" xfId="0" applyNumberFormat="1" applyFill="0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5" fillId="6" borderId="1" xfId="0" applyNumberFormat="1" applyFill="0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5" fillId="6" borderId="1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8" /><Relationship Type="http://schemas.openxmlformats.org/officeDocument/2006/relationships/styles" Target="/xl/styles.xml" Id="rId9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calcChain" Target="/xl/calcChain.xml" Id="rId10" /><Relationship Type="http://schemas.openxmlformats.org/officeDocument/2006/relationships/theme" Target="/xl/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27"/>
  <x:sheetViews>
    <x:sheetView showGridLines="0" workbookViewId="0"/>
  </x:sheetViews>
  <x:sheetFormatPr defaultRowHeight="15"/>
  <x:cols>
    <x:col min="3" max="16384" width="9.140625" style="1" customWidth="1"/>
    <x:col min="1" max="1" width="4.210625" style="1" customWidth="1"/>
    <x:col min="2" max="2" width="110.710625" style="1" customWidth="1"/>
  </x:cols>
  <x:sheetData>
    <x:row r="1" spans="1:2">
      <x:c r="B1" s="2" t="s">
        <x:v>0</x:v>
      </x:c>
    </x:row>
    <x:row r="2" spans="1:2">
      <x:c r="B2" s="3" t="s">
        <x:v>1</x:v>
      </x:c>
    </x:row>
    <x:row r="4" spans="1:2">
      <x:c r="B4" s="4" t="s">
        <x:v>2</x:v>
      </x:c>
    </x:row>
    <x:row r="5" spans="1:2">
      <x:c r="B5" s="5" t="s">
        <x:v>3</x:v>
      </x:c>
    </x:row>
    <x:row r="6" spans="1:2">
      <x:c r="B6" s="5" t="s">
        <x:v>4</x:v>
      </x:c>
    </x:row>
    <x:row r="7" spans="1:2">
      <x:c r="B7" s="5" t="s">
        <x:v>5</x:v>
      </x:c>
    </x:row>
    <x:row r="8" spans="1:2">
      <x:c r="B8" s="5" t="s">
        <x:v>6</x:v>
      </x:c>
    </x:row>
    <x:row r="9" spans="1:2">
      <x:c r="B9" s="5" t="s">
        <x:v>7</x:v>
      </x:c>
    </x:row>
    <x:row r="11" spans="1:2">
      <x:c r="B11" s="4" t="s">
        <x:v>8</x:v>
      </x:c>
    </x:row>
    <x:row r="12" spans="1:2">
      <x:c r="A12" s="6"/>
      <x:c r="B12" s="5" t="s">
        <x:v>9</x:v>
      </x:c>
    </x:row>
    <x:row r="13" spans="1:2">
      <x:c r="A13" s="7"/>
      <x:c r="B13" s="5" t="s">
        <x:v>10</x:v>
      </x:c>
    </x:row>
    <x:row r="14" spans="1:2">
      <x:c r="A14" s="8"/>
      <x:c r="B14" s="5" t="s">
        <x:v>11</x:v>
      </x:c>
    </x:row>
    <x:row r="16" spans="1:2">
      <x:c r="B16" s="3" t="s">
        <x:v>12</x:v>
      </x:c>
    </x:row>
    <x:row r="17" spans="1:2">
      <x:c r="B17" s="3" t="s">
        <x:v>13</x:v>
      </x:c>
    </x:row>
    <x:row r="19" spans="1:2">
      <x:c r="B19" s="4" t="s">
        <x:v>14</x:v>
      </x:c>
    </x:row>
    <x:row r="20" spans="1:2">
      <x:c r="B20" s="5" t="s">
        <x:v>15</x:v>
      </x:c>
    </x:row>
    <x:row r="21" spans="1:2">
      <x:c r="B21" s="5" t="s">
        <x:v>16</x:v>
      </x:c>
    </x:row>
    <x:row r="22" spans="1:2">
      <x:c r="B22" s="5" t="s">
        <x:v>17</x:v>
      </x:c>
    </x:row>
    <x:row r="23" spans="1:2">
      <x:c r="B23" s="5" t="s">
        <x:v>18</x:v>
      </x:c>
    </x:row>
    <x:row r="24" spans="1:2">
      <x:c r="B24" s="5" t="s">
        <x:v>19</x:v>
      </x:c>
    </x:row>
    <x:row r="25" spans="1:2">
      <x:c r="B25" s="5" t="s">
        <x:v>20</x:v>
      </x:c>
    </x:row>
    <x:row r="26" spans="1:2">
      <x:c r="B26" s="5" t="s">
        <x:v>21</x:v>
      </x:c>
    </x:row>
    <x:row r="27" spans="1:2">
      <x:c r="B27" s="5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8"/>
  <x:sheetViews>
    <x:sheetView showGridLines="0" workbookViewId="0">
      <x:pane xSplit="0" ySplit="3" topLeftCell="A4" activePane="bottomLeft" state="frozenSplit"/>
    </x:sheetView>
  </x:sheetViews>
  <x:sheetFormatPr defaultRowHeight="15"/>
  <x:cols>
    <x:col min="11" max="16384" width="9.140625" style="1" customWidth="1"/>
    <x:col min="1" max="1" width="6.710625" style="1" customWidth="1"/>
    <x:col min="2" max="2" width="40.710625" style="1" customWidth="1"/>
    <x:col min="3" max="3" width="10.710625" style="1" customWidth="1"/>
    <x:col min="4" max="4" width="7.710625" style="1" customWidth="1"/>
    <x:col min="5" max="7" width="9.710625" style="1" customWidth="1"/>
    <x:col min="8" max="8" width="11.710625" style="1" customWidth="1"/>
    <x:col min="9" max="9" width="26.710625" style="1" customWidth="1"/>
    <x:col min="10" max="10" width="46.710625" style="1" customWidth="1"/>
  </x:cols>
  <x:sheetData>
    <x:row r="1" spans="1:10">
      <x:c r="A1" s="2" t="s">
        <x:v>74</x:v>
      </x:c>
    </x:row>
    <x:row r="2" spans="1:10">
      <x:c r="A2" s="3" t="s">
        <x:v>75</x:v>
      </x:c>
    </x:row>
    <x:row r="3" spans="1:10" ht="30" customHeight="1">
      <x:c r="A3" s="9" t="s">
        <x:v>76</x:v>
      </x:c>
      <x:c r="B3" s="9" t="s">
        <x:v>77</x:v>
      </x:c>
      <x:c r="C3" s="9" t="s">
        <x:v>78</x:v>
      </x:c>
      <x:c r="D3" s="9" t="s">
        <x:v>79</x:v>
      </x:c>
      <x:c r="E3" s="9" t="s">
        <x:v>80</x:v>
      </x:c>
      <x:c r="F3" s="9" t="s">
        <x:v>81</x:v>
      </x:c>
      <x:c r="G3" s="9" t="s">
        <x:v>82</x:v>
      </x:c>
      <x:c r="H3" s="9" t="s">
        <x:v>35</x:v>
      </x:c>
      <x:c r="I3" s="9" t="s">
        <x:v>83</x:v>
      </x:c>
      <x:c r="J3" s="9" t="s">
        <x:v>84</x:v>
      </x:c>
    </x:row>
    <x:row r="4" spans="1:10" ht="30" customHeight="1">
      <x:c r="A4" s="14">
        <x:v>1</x:v>
      </x:c>
      <x:c r="B4" s="13" t="s">
        <x:v>85</x:v>
      </x:c>
      <x:c r="C4" s="12">
        <x:v>3</x:v>
      </x:c>
      <x:c r="D4" s="12">
        <x:v>3</x:v>
      </x:c>
      <x:c r="E4" s="15">
        <x:f>SUMPRODUCT((Encounters!$F$4:$F$43&lt;=$A4)*((Encounters!$G$4:$G$43=0)+(Encounters!$G$4:$G$43&gt;=$A4)&gt;0)*(Encounters!$A$4:$A$43&lt;&gt;""))</x:f>
      </x:c>
      <x:c r="F4" s="15">
        <x:f>SUMPRODUCT((Encounters!$F$4:$F$43&lt;=$A4)*((Encounters!$G$4:$G$43=0)+(Encounters!$G$4:$G$43&gt;=$A4)&gt;0)*(Encounters!$A$4:$A$43&lt;&gt;"")*(Encounters!$C$4:$C$43="Battle"))</x:f>
      </x:c>
      <x:c r="G4" s="15">
        <x:f>SUMPRODUCT((Encounters!$F$4:$F$43&lt;=$A4)*((Encounters!$G$4:$G$43=0)+(Encounters!$G$4:$G$43&gt;=$A4)&gt;0)*(Encounters!$A$4:$A$43&lt;&gt;"")*(Encounters!$C$4:$C$43="Event"))</x:f>
      </x:c>
      <x:c r="H4" s="15">
        <x:f>SUMPRODUCT((Encounters!$F$4:$F$43&lt;=$A4)*((Encounters!$G$4:$G$43=0)+(Encounters!$G$4:$G$43&gt;=$A4)&gt;0)*(Encounters!$A$4:$A$43&lt;&gt;"")*(Encounters!$K$4:$K$43="TRUE"))</x:f>
      </x:c>
      <x:c r="I4" s="15">
        <x:f>IF($E4=0,"EMPTY DAY",IF($E4&lt;$C4,"thin — repeats likely","ok"))</x:f>
      </x:c>
      <x:c r="J4" s="13" t="s">
        <x:v>86</x:v>
      </x:c>
    </x:row>
    <x:row r="5" spans="1:10" ht="30" customHeight="1">
      <x:c r="A5" s="14">
        <x:v>2</x:v>
      </x:c>
      <x:c r="B5" s="13" t="s">
        <x:v>87</x:v>
      </x:c>
      <x:c r="C5" s="12">
        <x:v>3</x:v>
      </x:c>
      <x:c r="D5" s="12">
        <x:v>3</x:v>
      </x:c>
      <x:c r="E5" s="15">
        <x:f>SUMPRODUCT((Encounters!$F$4:$F$43&lt;=$A5)*((Encounters!$G$4:$G$43=0)+(Encounters!$G$4:$G$43&gt;=$A5)&gt;0)*(Encounters!$A$4:$A$43&lt;&gt;""))</x:f>
      </x:c>
      <x:c r="F5" s="15">
        <x:f>SUMPRODUCT((Encounters!$F$4:$F$43&lt;=$A5)*((Encounters!$G$4:$G$43=0)+(Encounters!$G$4:$G$43&gt;=$A5)&gt;0)*(Encounters!$A$4:$A$43&lt;&gt;"")*(Encounters!$C$4:$C$43="Battle"))</x:f>
      </x:c>
      <x:c r="G5" s="15">
        <x:f>SUMPRODUCT((Encounters!$F$4:$F$43&lt;=$A5)*((Encounters!$G$4:$G$43=0)+(Encounters!$G$4:$G$43&gt;=$A5)&gt;0)*(Encounters!$A$4:$A$43&lt;&gt;"")*(Encounters!$C$4:$C$43="Event"))</x:f>
      </x:c>
      <x:c r="H5" s="15">
        <x:f>SUMPRODUCT((Encounters!$F$4:$F$43&lt;=$A5)*((Encounters!$G$4:$G$43=0)+(Encounters!$G$4:$G$43&gt;=$A5)&gt;0)*(Encounters!$A$4:$A$43&lt;&gt;"")*(Encounters!$K$4:$K$43="TRUE"))</x:f>
      </x:c>
      <x:c r="I5" s="15">
        <x:f>IF($E5=0,"EMPTY DAY",IF($E5&lt;$C5,"thin — repeats likely","ok"))</x:f>
      </x:c>
      <x:c r="J5" s="13" t="s">
        <x:v>88</x:v>
      </x:c>
    </x:row>
    <x:row r="6" spans="1:10" ht="30" customHeight="1">
      <x:c r="A6" s="14">
        <x:v>3</x:v>
      </x:c>
      <x:c r="B6" s="13" t="s">
        <x:v>49</x:v>
      </x:c>
      <x:c r="C6" s="12">
        <x:v>3</x:v>
      </x:c>
      <x:c r="D6" s="12">
        <x:v>3</x:v>
      </x:c>
      <x:c r="E6" s="15">
        <x:f>SUMPRODUCT((Encounters!$F$4:$F$43&lt;=$A6)*((Encounters!$G$4:$G$43=0)+(Encounters!$G$4:$G$43&gt;=$A6)&gt;0)*(Encounters!$A$4:$A$43&lt;&gt;""))</x:f>
      </x:c>
      <x:c r="F6" s="15">
        <x:f>SUMPRODUCT((Encounters!$F$4:$F$43&lt;=$A6)*((Encounters!$G$4:$G$43=0)+(Encounters!$G$4:$G$43&gt;=$A6)&gt;0)*(Encounters!$A$4:$A$43&lt;&gt;"")*(Encounters!$C$4:$C$43="Battle"))</x:f>
      </x:c>
      <x:c r="G6" s="15">
        <x:f>SUMPRODUCT((Encounters!$F$4:$F$43&lt;=$A6)*((Encounters!$G$4:$G$43=0)+(Encounters!$G$4:$G$43&gt;=$A6)&gt;0)*(Encounters!$A$4:$A$43&lt;&gt;"")*(Encounters!$C$4:$C$43="Event"))</x:f>
      </x:c>
      <x:c r="H6" s="15">
        <x:f>SUMPRODUCT((Encounters!$F$4:$F$43&lt;=$A6)*((Encounters!$G$4:$G$43=0)+(Encounters!$G$4:$G$43&gt;=$A6)&gt;0)*(Encounters!$A$4:$A$43&lt;&gt;"")*(Encounters!$K$4:$K$43="TRUE"))</x:f>
      </x:c>
      <x:c r="I6" s="15">
        <x:f>IF($E6=0,"EMPTY DAY",IF($E6&lt;$C6,"thin — repeats likely","ok"))</x:f>
      </x:c>
      <x:c r="J6" s="13" t="s">
        <x:v>49</x:v>
      </x:c>
    </x:row>
    <x:row r="7" spans="1:10" ht="30" customHeight="1">
      <x:c r="A7" s="14">
        <x:v>4</x:v>
      </x:c>
      <x:c r="B7" s="13" t="s">
        <x:v>89</x:v>
      </x:c>
      <x:c r="C7" s="12">
        <x:v>3</x:v>
      </x:c>
      <x:c r="D7" s="12">
        <x:v>3</x:v>
      </x:c>
      <x:c r="E7" s="15">
        <x:f>SUMPRODUCT((Encounters!$F$4:$F$43&lt;=$A7)*((Encounters!$G$4:$G$43=0)+(Encounters!$G$4:$G$43&gt;=$A7)&gt;0)*(Encounters!$A$4:$A$43&lt;&gt;""))</x:f>
      </x:c>
      <x:c r="F7" s="15">
        <x:f>SUMPRODUCT((Encounters!$F$4:$F$43&lt;=$A7)*((Encounters!$G$4:$G$43=0)+(Encounters!$G$4:$G$43&gt;=$A7)&gt;0)*(Encounters!$A$4:$A$43&lt;&gt;"")*(Encounters!$C$4:$C$43="Battle"))</x:f>
      </x:c>
      <x:c r="G7" s="15">
        <x:f>SUMPRODUCT((Encounters!$F$4:$F$43&lt;=$A7)*((Encounters!$G$4:$G$43=0)+(Encounters!$G$4:$G$43&gt;=$A7)&gt;0)*(Encounters!$A$4:$A$43&lt;&gt;"")*(Encounters!$C$4:$C$43="Event"))</x:f>
      </x:c>
      <x:c r="H7" s="15">
        <x:f>SUMPRODUCT((Encounters!$F$4:$F$43&lt;=$A7)*((Encounters!$G$4:$G$43=0)+(Encounters!$G$4:$G$43&gt;=$A7)&gt;0)*(Encounters!$A$4:$A$43&lt;&gt;"")*(Encounters!$K$4:$K$43="TRUE"))</x:f>
      </x:c>
      <x:c r="I7" s="15">
        <x:f>IF($E7=0,"EMPTY DAY",IF($E7&lt;$C7,"thin — repeats likely","ok"))</x:f>
      </x:c>
      <x:c r="J7" s="13" t="s">
        <x:v>90</x:v>
      </x:c>
    </x:row>
    <x:row r="8" spans="1:10" ht="30" customHeight="1">
      <x:c r="A8" s="14">
        <x:v>5</x:v>
      </x:c>
      <x:c r="B8" s="13" t="s">
        <x:v>49</x:v>
      </x:c>
      <x:c r="C8" s="12">
        <x:v>3</x:v>
      </x:c>
      <x:c r="D8" s="12">
        <x:v>3</x:v>
      </x:c>
      <x:c r="E8" s="15">
        <x:f>SUMPRODUCT((Encounters!$F$4:$F$43&lt;=$A8)*((Encounters!$G$4:$G$43=0)+(Encounters!$G$4:$G$43&gt;=$A8)&gt;0)*(Encounters!$A$4:$A$43&lt;&gt;""))</x:f>
      </x:c>
      <x:c r="F8" s="15">
        <x:f>SUMPRODUCT((Encounters!$F$4:$F$43&lt;=$A8)*((Encounters!$G$4:$G$43=0)+(Encounters!$G$4:$G$43&gt;=$A8)&gt;0)*(Encounters!$A$4:$A$43&lt;&gt;"")*(Encounters!$C$4:$C$43="Battle"))</x:f>
      </x:c>
      <x:c r="G8" s="15">
        <x:f>SUMPRODUCT((Encounters!$F$4:$F$43&lt;=$A8)*((Encounters!$G$4:$G$43=0)+(Encounters!$G$4:$G$43&gt;=$A8)&gt;0)*(Encounters!$A$4:$A$43&lt;&gt;"")*(Encounters!$C$4:$C$43="Event"))</x:f>
      </x:c>
      <x:c r="H8" s="15">
        <x:f>SUMPRODUCT((Encounters!$F$4:$F$43&lt;=$A8)*((Encounters!$G$4:$G$43=0)+(Encounters!$G$4:$G$43&gt;=$A8)&gt;0)*(Encounters!$A$4:$A$43&lt;&gt;"")*(Encounters!$K$4:$K$43="TRUE"))</x:f>
      </x:c>
      <x:c r="I8" s="15">
        <x:f>IF($E8=0,"EMPTY DAY",IF($E8&lt;$C8,"thin — repeats likely","ok"))</x:f>
      </x:c>
      <x:c r="J8" s="13" t="s">
        <x:v>49</x:v>
      </x:c>
    </x:row>
    <x:row r="9" spans="1:10" ht="30" customHeight="1">
      <x:c r="A9" s="14">
        <x:v>6</x:v>
      </x:c>
      <x:c r="B9" s="13" t="s">
        <x:v>91</x:v>
      </x:c>
      <x:c r="C9" s="12">
        <x:v>3</x:v>
      </x:c>
      <x:c r="D9" s="12">
        <x:v>3</x:v>
      </x:c>
      <x:c r="E9" s="15">
        <x:f>SUMPRODUCT((Encounters!$F$4:$F$43&lt;=$A9)*((Encounters!$G$4:$G$43=0)+(Encounters!$G$4:$G$43&gt;=$A9)&gt;0)*(Encounters!$A$4:$A$43&lt;&gt;""))</x:f>
      </x:c>
      <x:c r="F9" s="15">
        <x:f>SUMPRODUCT((Encounters!$F$4:$F$43&lt;=$A9)*((Encounters!$G$4:$G$43=0)+(Encounters!$G$4:$G$43&gt;=$A9)&gt;0)*(Encounters!$A$4:$A$43&lt;&gt;"")*(Encounters!$C$4:$C$43="Battle"))</x:f>
      </x:c>
      <x:c r="G9" s="15">
        <x:f>SUMPRODUCT((Encounters!$F$4:$F$43&lt;=$A9)*((Encounters!$G$4:$G$43=0)+(Encounters!$G$4:$G$43&gt;=$A9)&gt;0)*(Encounters!$A$4:$A$43&lt;&gt;"")*(Encounters!$C$4:$C$43="Event"))</x:f>
      </x:c>
      <x:c r="H9" s="15">
        <x:f>SUMPRODUCT((Encounters!$F$4:$F$43&lt;=$A9)*((Encounters!$G$4:$G$43=0)+(Encounters!$G$4:$G$43&gt;=$A9)&gt;0)*(Encounters!$A$4:$A$43&lt;&gt;"")*(Encounters!$K$4:$K$43="TRUE"))</x:f>
      </x:c>
      <x:c r="I9" s="15">
        <x:f>IF($E9=0,"EMPTY DAY",IF($E9&lt;$C9,"thin — repeats likely","ok"))</x:f>
      </x:c>
      <x:c r="J9" s="13" t="s">
        <x:v>92</x:v>
      </x:c>
    </x:row>
    <x:row r="10" spans="1:10" ht="30" customHeight="1">
      <x:c r="A10" s="14">
        <x:v>7</x:v>
      </x:c>
      <x:c r="B10" s="13" t="s">
        <x:v>93</x:v>
      </x:c>
      <x:c r="C10" s="12">
        <x:v>3</x:v>
      </x:c>
      <x:c r="D10" s="12">
        <x:v>3</x:v>
      </x:c>
      <x:c r="E10" s="15">
        <x:f>SUMPRODUCT((Encounters!$F$4:$F$43&lt;=$A10)*((Encounters!$G$4:$G$43=0)+(Encounters!$G$4:$G$43&gt;=$A10)&gt;0)*(Encounters!$A$4:$A$43&lt;&gt;""))</x:f>
      </x:c>
      <x:c r="F10" s="15">
        <x:f>SUMPRODUCT((Encounters!$F$4:$F$43&lt;=$A10)*((Encounters!$G$4:$G$43=0)+(Encounters!$G$4:$G$43&gt;=$A10)&gt;0)*(Encounters!$A$4:$A$43&lt;&gt;"")*(Encounters!$C$4:$C$43="Battle"))</x:f>
      </x:c>
      <x:c r="G10" s="15">
        <x:f>SUMPRODUCT((Encounters!$F$4:$F$43&lt;=$A10)*((Encounters!$G$4:$G$43=0)+(Encounters!$G$4:$G$43&gt;=$A10)&gt;0)*(Encounters!$A$4:$A$43&lt;&gt;"")*(Encounters!$C$4:$C$43="Event"))</x:f>
      </x:c>
      <x:c r="H10" s="15">
        <x:f>SUMPRODUCT((Encounters!$F$4:$F$43&lt;=$A10)*((Encounters!$G$4:$G$43=0)+(Encounters!$G$4:$G$43&gt;=$A10)&gt;0)*(Encounters!$A$4:$A$43&lt;&gt;"")*(Encounters!$K$4:$K$43="TRUE"))</x:f>
      </x:c>
      <x:c r="I10" s="15">
        <x:f>IF($E10=0,"EMPTY DAY",IF($E10&lt;$C10,"thin — repeats likely","ok"))</x:f>
      </x:c>
      <x:c r="J10" s="13" t="s">
        <x:v>94</x:v>
      </x:c>
    </x:row>
    <x:row r="11" spans="1:10">
      <x:c r="B11" s="4" t="s">
        <x:v>95</x:v>
      </x:c>
      <x:c r="E11" s="16">
        <x:f>COUNTIF(Encounters!$A$4:$A$43,"&lt;&gt;")</x:f>
      </x:c>
      <x:c r="F11" s="16">
        <x:f>COUNTIF(Encounters!$C$4:$C$43,"Battle")</x:f>
      </x:c>
      <x:c r="G11" s="16">
        <x:f>COUNTIF(Encounters!$C$4:$C$43,"Event")</x:f>
      </x:c>
    </x:row>
    <x:row r="13" spans="1:10">
      <x:c r="B13" s="3" t="s">
        <x:v>96</x:v>
      </x:c>
    </x:row>
    <x:row r="14" spans="1:10">
      <x:c r="B14" s="3" t="s">
        <x:v>97</x:v>
      </x:c>
    </x:row>
    <x:row r="15" spans="1:10">
      <x:c r="B15" s="3" t="s">
        <x:v>98</x:v>
      </x:c>
    </x:row>
    <x:row r="16" spans="1:10">
      <x:c r="B16" s="3" t="s">
        <x:v>49</x:v>
      </x:c>
    </x:row>
    <x:row r="17" spans="1:10">
      <x:c r="B17" s="3" t="s">
        <x:v>99</x:v>
      </x:c>
    </x:row>
    <x:row r="18" spans="1:10">
      <x:c r="B18" s="3" t="s">
        <x:v>100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3"/>
  <x:sheetViews>
    <x:sheetView showGridLines="0" workbookViewId="0">
      <x:pane xSplit="0" ySplit="3" topLeftCell="A4" activePane="bottomLeft" state="frozenSplit"/>
    </x:sheetView>
  </x:sheetViews>
  <x:sheetFormatPr defaultRowHeight="15"/>
  <x:cols>
    <x:col min="18" max="16384" width="9.140625" style="1" customWidth="1"/>
    <x:col min="1" max="1" width="22.710625" style="1" customWidth="1"/>
    <x:col min="2" max="2" width="24.710625" style="1" customWidth="1"/>
    <x:col min="3" max="3" width="9.710625" style="1" customWidth="1"/>
    <x:col min="4" max="4" width="42.710625" style="1" customWidth="1"/>
    <x:col min="5" max="6" width="7.710625" style="1" customWidth="1"/>
    <x:col min="7" max="8" width="9.710625" style="1" customWidth="1"/>
    <x:col min="9" max="9" width="11.710625" style="1" customWidth="1"/>
    <x:col min="10" max="11" width="10.710625" style="1" customWidth="1"/>
    <x:col min="12" max="12" width="8.710625" style="1" customWidth="1"/>
    <x:col min="13" max="14" width="26.710625" style="1" customWidth="1"/>
    <x:col min="15" max="15" width="20.710625" style="1" customWidth="1"/>
    <x:col min="16" max="16" width="7.710625" style="1" customWidth="1"/>
    <x:col min="17" max="17" width="34.710625" style="1" customWidth="1"/>
  </x:cols>
  <x:sheetData>
    <x:row r="1" spans="1:17">
      <x:c r="A1" s="2" t="s">
        <x:v>23</x:v>
      </x:c>
    </x:row>
    <x:row r="2" spans="1:17">
      <x:c r="A2" s="3" t="s">
        <x:v>24</x:v>
      </x:c>
    </x:row>
    <x:row r="3" spans="1:17" ht="30" customHeight="1">
      <x:c r="A3" s="9" t="s">
        <x:v>25</x:v>
      </x:c>
      <x:c r="B3" s="9" t="s">
        <x:v>26</x:v>
      </x:c>
      <x:c r="C3" s="9" t="s">
        <x:v>27</x:v>
      </x:c>
      <x:c r="D3" s="9" t="s">
        <x:v>28</x:v>
      </x:c>
      <x:c r="E3" s="9" t="s">
        <x:v>29</x:v>
      </x:c>
      <x:c r="F3" s="9" t="s">
        <x:v>30</x:v>
      </x:c>
      <x:c r="G3" s="9" t="s">
        <x:v>31</x:v>
      </x:c>
      <x:c r="H3" s="9" t="s">
        <x:v>32</x:v>
      </x:c>
      <x:c r="I3" s="9" t="s">
        <x:v>33</x:v>
      </x:c>
      <x:c r="J3" s="9" t="s">
        <x:v>34</x:v>
      </x:c>
      <x:c r="K3" s="9" t="s">
        <x:v>35</x:v>
      </x:c>
      <x:c r="L3" s="9" t="s">
        <x:v>36</x:v>
      </x:c>
      <x:c r="M3" s="9" t="s">
        <x:v>37</x:v>
      </x:c>
      <x:c r="N3" s="9" t="s">
        <x:v>38</x:v>
      </x:c>
      <x:c r="O3" s="9" t="s">
        <x:v>39</x:v>
      </x:c>
      <x:c r="P3" s="9" t="s">
        <x:v>40</x:v>
      </x:c>
      <x:c r="Q3" s="9" t="s">
        <x:v>41</x:v>
      </x:c>
    </x:row>
    <x:row r="4" spans="1:17">
      <x:c r="A4" s="10" t="s">
        <x:v>42</x:v>
      </x:c>
      <x:c r="B4" s="10" t="s">
        <x:v>43</x:v>
      </x:c>
      <x:c r="C4" s="10" t="s">
        <x:v>44</x:v>
      </x:c>
      <x:c r="D4" s="11" t="s">
        <x:v>45</x:v>
      </x:c>
      <x:c r="E4" s="10">
        <x:v>1</x:v>
      </x:c>
      <x:c r="F4" s="10">
        <x:v>1</x:v>
      </x:c>
      <x:c r="G4" s="10">
        <x:v>3</x:v>
      </x:c>
      <x:c r="H4" s="10">
        <x:v>1</x:v>
      </x:c>
      <x:c r="I4" s="10">
        <x:v>-1</x:v>
      </x:c>
      <x:c r="J4" s="10" t="s">
        <x:v>46</x:v>
      </x:c>
      <x:c r="K4" s="10" t="s">
        <x:v>46</x:v>
      </x:c>
      <x:c r="L4" s="10" t="s">
        <x:v>47</x:v>
      </x:c>
      <x:c r="M4" s="11" t="s">
        <x:v>48</x:v>
      </x:c>
      <x:c r="N4" s="11" t="s">
        <x:v>49</x:v>
      </x:c>
      <x:c r="O4" s="11" t="s">
        <x:v>49</x:v>
      </x:c>
      <x:c r="P4" s="10">
        <x:v>2</x:v>
      </x:c>
      <x:c r="Q4" s="11" t="s">
        <x:v>50</x:v>
      </x:c>
    </x:row>
    <x:row r="5" spans="1:17">
      <x:c r="A5" s="12"/>
      <x:c r="B5" s="12"/>
      <x:c r="C5" s="12"/>
      <x:c r="D5" s="13"/>
      <x:c r="E5" s="12"/>
      <x:c r="F5" s="12"/>
      <x:c r="G5" s="12"/>
      <x:c r="H5" s="12"/>
      <x:c r="I5" s="12"/>
      <x:c r="J5" s="12"/>
      <x:c r="K5" s="12"/>
      <x:c r="L5" s="12"/>
      <x:c r="M5" s="13"/>
      <x:c r="N5" s="13"/>
      <x:c r="O5" s="13"/>
      <x:c r="P5" s="12"/>
      <x:c r="Q5" s="13"/>
    </x:row>
    <x:row r="6" spans="1:17">
      <x:c r="A6" s="12"/>
      <x:c r="B6" s="12"/>
      <x:c r="C6" s="12"/>
      <x:c r="D6" s="13"/>
      <x:c r="E6" s="12"/>
      <x:c r="F6" s="12"/>
      <x:c r="G6" s="12"/>
      <x:c r="H6" s="12"/>
      <x:c r="I6" s="12"/>
      <x:c r="J6" s="12"/>
      <x:c r="K6" s="12"/>
      <x:c r="L6" s="12"/>
      <x:c r="M6" s="13"/>
      <x:c r="N6" s="13"/>
      <x:c r="O6" s="13"/>
      <x:c r="P6" s="12"/>
      <x:c r="Q6" s="13"/>
    </x:row>
    <x:row r="7" spans="1:17">
      <x:c r="A7" s="12"/>
      <x:c r="B7" s="12"/>
      <x:c r="C7" s="12"/>
      <x:c r="D7" s="13"/>
      <x:c r="E7" s="12"/>
      <x:c r="F7" s="12"/>
      <x:c r="G7" s="12"/>
      <x:c r="H7" s="12"/>
      <x:c r="I7" s="12"/>
      <x:c r="J7" s="12"/>
      <x:c r="K7" s="12"/>
      <x:c r="L7" s="12"/>
      <x:c r="M7" s="13"/>
      <x:c r="N7" s="13"/>
      <x:c r="O7" s="13"/>
      <x:c r="P7" s="12"/>
      <x:c r="Q7" s="13"/>
    </x:row>
    <x:row r="8" spans="1:17">
      <x:c r="A8" s="12"/>
      <x:c r="B8" s="12"/>
      <x:c r="C8" s="12"/>
      <x:c r="D8" s="13"/>
      <x:c r="E8" s="12"/>
      <x:c r="F8" s="12"/>
      <x:c r="G8" s="12"/>
      <x:c r="H8" s="12"/>
      <x:c r="I8" s="12"/>
      <x:c r="J8" s="12"/>
      <x:c r="K8" s="12"/>
      <x:c r="L8" s="12"/>
      <x:c r="M8" s="13"/>
      <x:c r="N8" s="13"/>
      <x:c r="O8" s="13"/>
      <x:c r="P8" s="12"/>
      <x:c r="Q8" s="13"/>
    </x:row>
    <x:row r="9" spans="1:17">
      <x:c r="A9" s="12"/>
      <x:c r="B9" s="12"/>
      <x:c r="C9" s="12"/>
      <x:c r="D9" s="13"/>
      <x:c r="E9" s="12"/>
      <x:c r="F9" s="12"/>
      <x:c r="G9" s="12"/>
      <x:c r="H9" s="12"/>
      <x:c r="I9" s="12"/>
      <x:c r="J9" s="12"/>
      <x:c r="K9" s="12"/>
      <x:c r="L9" s="12"/>
      <x:c r="M9" s="13"/>
      <x:c r="N9" s="13"/>
      <x:c r="O9" s="13"/>
      <x:c r="P9" s="12"/>
      <x:c r="Q9" s="13"/>
    </x:row>
    <x:row r="10" spans="1:17">
      <x:c r="A10" s="12"/>
      <x:c r="B10" s="12"/>
      <x:c r="C10" s="12"/>
      <x:c r="D10" s="13"/>
      <x:c r="E10" s="12"/>
      <x:c r="F10" s="12"/>
      <x:c r="G10" s="12"/>
      <x:c r="H10" s="12"/>
      <x:c r="I10" s="12"/>
      <x:c r="J10" s="12"/>
      <x:c r="K10" s="12"/>
      <x:c r="L10" s="12"/>
      <x:c r="M10" s="13"/>
      <x:c r="N10" s="13"/>
      <x:c r="O10" s="13"/>
      <x:c r="P10" s="12"/>
      <x:c r="Q10" s="13"/>
    </x:row>
    <x:row r="11" spans="1:17">
      <x:c r="A11" s="12"/>
      <x:c r="B11" s="12"/>
      <x:c r="C11" s="12"/>
      <x:c r="D11" s="13"/>
      <x:c r="E11" s="12"/>
      <x:c r="F11" s="12"/>
      <x:c r="G11" s="12"/>
      <x:c r="H11" s="12"/>
      <x:c r="I11" s="12"/>
      <x:c r="J11" s="12"/>
      <x:c r="K11" s="12"/>
      <x:c r="L11" s="12"/>
      <x:c r="M11" s="13"/>
      <x:c r="N11" s="13"/>
      <x:c r="O11" s="13"/>
      <x:c r="P11" s="12"/>
      <x:c r="Q11" s="13"/>
    </x:row>
    <x:row r="12" spans="1:17">
      <x:c r="A12" s="12"/>
      <x:c r="B12" s="12"/>
      <x:c r="C12" s="12"/>
      <x:c r="D12" s="13"/>
      <x:c r="E12" s="12"/>
      <x:c r="F12" s="12"/>
      <x:c r="G12" s="12"/>
      <x:c r="H12" s="12"/>
      <x:c r="I12" s="12"/>
      <x:c r="J12" s="12"/>
      <x:c r="K12" s="12"/>
      <x:c r="L12" s="12"/>
      <x:c r="M12" s="13"/>
      <x:c r="N12" s="13"/>
      <x:c r="O12" s="13"/>
      <x:c r="P12" s="12"/>
      <x:c r="Q12" s="13"/>
    </x:row>
    <x:row r="13" spans="1:17">
      <x:c r="A13" s="12"/>
      <x:c r="B13" s="12"/>
      <x:c r="C13" s="12"/>
      <x:c r="D13" s="13"/>
      <x:c r="E13" s="12"/>
      <x:c r="F13" s="12"/>
      <x:c r="G13" s="12"/>
      <x:c r="H13" s="12"/>
      <x:c r="I13" s="12"/>
      <x:c r="J13" s="12"/>
      <x:c r="K13" s="12"/>
      <x:c r="L13" s="12"/>
      <x:c r="M13" s="13"/>
      <x:c r="N13" s="13"/>
      <x:c r="O13" s="13"/>
      <x:c r="P13" s="12"/>
      <x:c r="Q13" s="13"/>
    </x:row>
    <x:row r="14" spans="1:17">
      <x:c r="A14" s="12"/>
      <x:c r="B14" s="12"/>
      <x:c r="C14" s="12"/>
      <x:c r="D14" s="13"/>
      <x:c r="E14" s="12"/>
      <x:c r="F14" s="12"/>
      <x:c r="G14" s="12"/>
      <x:c r="H14" s="12"/>
      <x:c r="I14" s="12"/>
      <x:c r="J14" s="12"/>
      <x:c r="K14" s="12"/>
      <x:c r="L14" s="12"/>
      <x:c r="M14" s="13"/>
      <x:c r="N14" s="13"/>
      <x:c r="O14" s="13"/>
      <x:c r="P14" s="12"/>
      <x:c r="Q14" s="13"/>
    </x:row>
    <x:row r="15" spans="1:17">
      <x:c r="A15" s="12"/>
      <x:c r="B15" s="12"/>
      <x:c r="C15" s="12"/>
      <x:c r="D15" s="13"/>
      <x:c r="E15" s="12"/>
      <x:c r="F15" s="12"/>
      <x:c r="G15" s="12"/>
      <x:c r="H15" s="12"/>
      <x:c r="I15" s="12"/>
      <x:c r="J15" s="12"/>
      <x:c r="K15" s="12"/>
      <x:c r="L15" s="12"/>
      <x:c r="M15" s="13"/>
      <x:c r="N15" s="13"/>
      <x:c r="O15" s="13"/>
      <x:c r="P15" s="12"/>
      <x:c r="Q15" s="13"/>
    </x:row>
    <x:row r="16" spans="1:17">
      <x:c r="A16" s="12"/>
      <x:c r="B16" s="12"/>
      <x:c r="C16" s="12"/>
      <x:c r="D16" s="13"/>
      <x:c r="E16" s="12"/>
      <x:c r="F16" s="12"/>
      <x:c r="G16" s="12"/>
      <x:c r="H16" s="12"/>
      <x:c r="I16" s="12"/>
      <x:c r="J16" s="12"/>
      <x:c r="K16" s="12"/>
      <x:c r="L16" s="12"/>
      <x:c r="M16" s="13"/>
      <x:c r="N16" s="13"/>
      <x:c r="O16" s="13"/>
      <x:c r="P16" s="12"/>
      <x:c r="Q16" s="13"/>
    </x:row>
    <x:row r="17" spans="1:17">
      <x:c r="A17" s="12"/>
      <x:c r="B17" s="12"/>
      <x:c r="C17" s="12"/>
      <x:c r="D17" s="13"/>
      <x:c r="E17" s="12"/>
      <x:c r="F17" s="12"/>
      <x:c r="G17" s="12"/>
      <x:c r="H17" s="12"/>
      <x:c r="I17" s="12"/>
      <x:c r="J17" s="12"/>
      <x:c r="K17" s="12"/>
      <x:c r="L17" s="12"/>
      <x:c r="M17" s="13"/>
      <x:c r="N17" s="13"/>
      <x:c r="O17" s="13"/>
      <x:c r="P17" s="12"/>
      <x:c r="Q17" s="13"/>
    </x:row>
    <x:row r="18" spans="1:17">
      <x:c r="A18" s="12"/>
      <x:c r="B18" s="12"/>
      <x:c r="C18" s="12"/>
      <x:c r="D18" s="13"/>
      <x:c r="E18" s="12"/>
      <x:c r="F18" s="12"/>
      <x:c r="G18" s="12"/>
      <x:c r="H18" s="12"/>
      <x:c r="I18" s="12"/>
      <x:c r="J18" s="12"/>
      <x:c r="K18" s="12"/>
      <x:c r="L18" s="12"/>
      <x:c r="M18" s="13"/>
      <x:c r="N18" s="13"/>
      <x:c r="O18" s="13"/>
      <x:c r="P18" s="12"/>
      <x:c r="Q18" s="13"/>
    </x:row>
    <x:row r="19" spans="1:17">
      <x:c r="A19" s="12"/>
      <x:c r="B19" s="12"/>
      <x:c r="C19" s="12"/>
      <x:c r="D19" s="13"/>
      <x:c r="E19" s="12"/>
      <x:c r="F19" s="12"/>
      <x:c r="G19" s="12"/>
      <x:c r="H19" s="12"/>
      <x:c r="I19" s="12"/>
      <x:c r="J19" s="12"/>
      <x:c r="K19" s="12"/>
      <x:c r="L19" s="12"/>
      <x:c r="M19" s="13"/>
      <x:c r="N19" s="13"/>
      <x:c r="O19" s="13"/>
      <x:c r="P19" s="12"/>
      <x:c r="Q19" s="13"/>
    </x:row>
    <x:row r="20" spans="1:17">
      <x:c r="A20" s="12"/>
      <x:c r="B20" s="12"/>
      <x:c r="C20" s="12"/>
      <x:c r="D20" s="13"/>
      <x:c r="E20" s="12"/>
      <x:c r="F20" s="12"/>
      <x:c r="G20" s="12"/>
      <x:c r="H20" s="12"/>
      <x:c r="I20" s="12"/>
      <x:c r="J20" s="12"/>
      <x:c r="K20" s="12"/>
      <x:c r="L20" s="12"/>
      <x:c r="M20" s="13"/>
      <x:c r="N20" s="13"/>
      <x:c r="O20" s="13"/>
      <x:c r="P20" s="12"/>
      <x:c r="Q20" s="13"/>
    </x:row>
    <x:row r="21" spans="1:17">
      <x:c r="A21" s="12"/>
      <x:c r="B21" s="12"/>
      <x:c r="C21" s="12"/>
      <x:c r="D21" s="13"/>
      <x:c r="E21" s="12"/>
      <x:c r="F21" s="12"/>
      <x:c r="G21" s="12"/>
      <x:c r="H21" s="12"/>
      <x:c r="I21" s="12"/>
      <x:c r="J21" s="12"/>
      <x:c r="K21" s="12"/>
      <x:c r="L21" s="12"/>
      <x:c r="M21" s="13"/>
      <x:c r="N21" s="13"/>
      <x:c r="O21" s="13"/>
      <x:c r="P21" s="12"/>
      <x:c r="Q21" s="13"/>
    </x:row>
    <x:row r="22" spans="1:17">
      <x:c r="A22" s="12"/>
      <x:c r="B22" s="12"/>
      <x:c r="C22" s="12"/>
      <x:c r="D22" s="13"/>
      <x:c r="E22" s="12"/>
      <x:c r="F22" s="12"/>
      <x:c r="G22" s="12"/>
      <x:c r="H22" s="12"/>
      <x:c r="I22" s="12"/>
      <x:c r="J22" s="12"/>
      <x:c r="K22" s="12"/>
      <x:c r="L22" s="12"/>
      <x:c r="M22" s="13"/>
      <x:c r="N22" s="13"/>
      <x:c r="O22" s="13"/>
      <x:c r="P22" s="12"/>
      <x:c r="Q22" s="13"/>
    </x:row>
    <x:row r="23" spans="1:17">
      <x:c r="A23" s="12"/>
      <x:c r="B23" s="12"/>
      <x:c r="C23" s="12"/>
      <x:c r="D23" s="13"/>
      <x:c r="E23" s="12"/>
      <x:c r="F23" s="12"/>
      <x:c r="G23" s="12"/>
      <x:c r="H23" s="12"/>
      <x:c r="I23" s="12"/>
      <x:c r="J23" s="12"/>
      <x:c r="K23" s="12"/>
      <x:c r="L23" s="12"/>
      <x:c r="M23" s="13"/>
      <x:c r="N23" s="13"/>
      <x:c r="O23" s="13"/>
      <x:c r="P23" s="12"/>
      <x:c r="Q23" s="13"/>
    </x:row>
    <x:row r="24" spans="1:17">
      <x:c r="A24" s="12"/>
      <x:c r="B24" s="12"/>
      <x:c r="C24" s="12"/>
      <x:c r="D24" s="13"/>
      <x:c r="E24" s="12"/>
      <x:c r="F24" s="12"/>
      <x:c r="G24" s="12"/>
      <x:c r="H24" s="12"/>
      <x:c r="I24" s="12"/>
      <x:c r="J24" s="12"/>
      <x:c r="K24" s="12"/>
      <x:c r="L24" s="12"/>
      <x:c r="M24" s="13"/>
      <x:c r="N24" s="13"/>
      <x:c r="O24" s="13"/>
      <x:c r="P24" s="12"/>
      <x:c r="Q24" s="13"/>
    </x:row>
    <x:row r="25" spans="1:17">
      <x:c r="A25" s="12"/>
      <x:c r="B25" s="12"/>
      <x:c r="C25" s="12"/>
      <x:c r="D25" s="13"/>
      <x:c r="E25" s="12"/>
      <x:c r="F25" s="12"/>
      <x:c r="G25" s="12"/>
      <x:c r="H25" s="12"/>
      <x:c r="I25" s="12"/>
      <x:c r="J25" s="12"/>
      <x:c r="K25" s="12"/>
      <x:c r="L25" s="12"/>
      <x:c r="M25" s="13"/>
      <x:c r="N25" s="13"/>
      <x:c r="O25" s="13"/>
      <x:c r="P25" s="12"/>
      <x:c r="Q25" s="13"/>
    </x:row>
    <x:row r="26" spans="1:17">
      <x:c r="A26" s="12"/>
      <x:c r="B26" s="12"/>
      <x:c r="C26" s="12"/>
      <x:c r="D26" s="13"/>
      <x:c r="E26" s="12"/>
      <x:c r="F26" s="12"/>
      <x:c r="G26" s="12"/>
      <x:c r="H26" s="12"/>
      <x:c r="I26" s="12"/>
      <x:c r="J26" s="12"/>
      <x:c r="K26" s="12"/>
      <x:c r="L26" s="12"/>
      <x:c r="M26" s="13"/>
      <x:c r="N26" s="13"/>
      <x:c r="O26" s="13"/>
      <x:c r="P26" s="12"/>
      <x:c r="Q26" s="13"/>
    </x:row>
    <x:row r="27" spans="1:17">
      <x:c r="A27" s="12"/>
      <x:c r="B27" s="12"/>
      <x:c r="C27" s="12"/>
      <x:c r="D27" s="13"/>
      <x:c r="E27" s="12"/>
      <x:c r="F27" s="12"/>
      <x:c r="G27" s="12"/>
      <x:c r="H27" s="12"/>
      <x:c r="I27" s="12"/>
      <x:c r="J27" s="12"/>
      <x:c r="K27" s="12"/>
      <x:c r="L27" s="12"/>
      <x:c r="M27" s="13"/>
      <x:c r="N27" s="13"/>
      <x:c r="O27" s="13"/>
      <x:c r="P27" s="12"/>
      <x:c r="Q27" s="13"/>
    </x:row>
    <x:row r="28" spans="1:17">
      <x:c r="A28" s="12"/>
      <x:c r="B28" s="12"/>
      <x:c r="C28" s="12"/>
      <x:c r="D28" s="13"/>
      <x:c r="E28" s="12"/>
      <x:c r="F28" s="12"/>
      <x:c r="G28" s="12"/>
      <x:c r="H28" s="12"/>
      <x:c r="I28" s="12"/>
      <x:c r="J28" s="12"/>
      <x:c r="K28" s="12"/>
      <x:c r="L28" s="12"/>
      <x:c r="M28" s="13"/>
      <x:c r="N28" s="13"/>
      <x:c r="O28" s="13"/>
      <x:c r="P28" s="12"/>
      <x:c r="Q28" s="13"/>
    </x:row>
    <x:row r="29" spans="1:17">
      <x:c r="A29" s="12"/>
      <x:c r="B29" s="12"/>
      <x:c r="C29" s="12"/>
      <x:c r="D29" s="13"/>
      <x:c r="E29" s="12"/>
      <x:c r="F29" s="12"/>
      <x:c r="G29" s="12"/>
      <x:c r="H29" s="12"/>
      <x:c r="I29" s="12"/>
      <x:c r="J29" s="12"/>
      <x:c r="K29" s="12"/>
      <x:c r="L29" s="12"/>
      <x:c r="M29" s="13"/>
      <x:c r="N29" s="13"/>
      <x:c r="O29" s="13"/>
      <x:c r="P29" s="12"/>
      <x:c r="Q29" s="13"/>
    </x:row>
    <x:row r="30" spans="1:17">
      <x:c r="A30" s="12"/>
      <x:c r="B30" s="12"/>
      <x:c r="C30" s="12"/>
      <x:c r="D30" s="13"/>
      <x:c r="E30" s="12"/>
      <x:c r="F30" s="12"/>
      <x:c r="G30" s="12"/>
      <x:c r="H30" s="12"/>
      <x:c r="I30" s="12"/>
      <x:c r="J30" s="12"/>
      <x:c r="K30" s="12"/>
      <x:c r="L30" s="12"/>
      <x:c r="M30" s="13"/>
      <x:c r="N30" s="13"/>
      <x:c r="O30" s="13"/>
      <x:c r="P30" s="12"/>
      <x:c r="Q30" s="13"/>
    </x:row>
    <x:row r="31" spans="1:17">
      <x:c r="A31" s="12"/>
      <x:c r="B31" s="12"/>
      <x:c r="C31" s="12"/>
      <x:c r="D31" s="13"/>
      <x:c r="E31" s="12"/>
      <x:c r="F31" s="12"/>
      <x:c r="G31" s="12"/>
      <x:c r="H31" s="12"/>
      <x:c r="I31" s="12"/>
      <x:c r="J31" s="12"/>
      <x:c r="K31" s="12"/>
      <x:c r="L31" s="12"/>
      <x:c r="M31" s="13"/>
      <x:c r="N31" s="13"/>
      <x:c r="O31" s="13"/>
      <x:c r="P31" s="12"/>
      <x:c r="Q31" s="13"/>
    </x:row>
    <x:row r="32" spans="1:17">
      <x:c r="A32" s="12"/>
      <x:c r="B32" s="12"/>
      <x:c r="C32" s="12"/>
      <x:c r="D32" s="13"/>
      <x:c r="E32" s="12"/>
      <x:c r="F32" s="12"/>
      <x:c r="G32" s="12"/>
      <x:c r="H32" s="12"/>
      <x:c r="I32" s="12"/>
      <x:c r="J32" s="12"/>
      <x:c r="K32" s="12"/>
      <x:c r="L32" s="12"/>
      <x:c r="M32" s="13"/>
      <x:c r="N32" s="13"/>
      <x:c r="O32" s="13"/>
      <x:c r="P32" s="12"/>
      <x:c r="Q32" s="13"/>
    </x:row>
    <x:row r="33" spans="1:17">
      <x:c r="A33" s="12"/>
      <x:c r="B33" s="12"/>
      <x:c r="C33" s="12"/>
      <x:c r="D33" s="13"/>
      <x:c r="E33" s="12"/>
      <x:c r="F33" s="12"/>
      <x:c r="G33" s="12"/>
      <x:c r="H33" s="12"/>
      <x:c r="I33" s="12"/>
      <x:c r="J33" s="12"/>
      <x:c r="K33" s="12"/>
      <x:c r="L33" s="12"/>
      <x:c r="M33" s="13"/>
      <x:c r="N33" s="13"/>
      <x:c r="O33" s="13"/>
      <x:c r="P33" s="12"/>
      <x:c r="Q33" s="13"/>
    </x:row>
    <x:row r="34" spans="1:17">
      <x:c r="A34" s="12"/>
      <x:c r="B34" s="12"/>
      <x:c r="C34" s="12"/>
      <x:c r="D34" s="13"/>
      <x:c r="E34" s="12"/>
      <x:c r="F34" s="12"/>
      <x:c r="G34" s="12"/>
      <x:c r="H34" s="12"/>
      <x:c r="I34" s="12"/>
      <x:c r="J34" s="12"/>
      <x:c r="K34" s="12"/>
      <x:c r="L34" s="12"/>
      <x:c r="M34" s="13"/>
      <x:c r="N34" s="13"/>
      <x:c r="O34" s="13"/>
      <x:c r="P34" s="12"/>
      <x:c r="Q34" s="13"/>
    </x:row>
    <x:row r="35" spans="1:17">
      <x:c r="A35" s="12"/>
      <x:c r="B35" s="12"/>
      <x:c r="C35" s="12"/>
      <x:c r="D35" s="13"/>
      <x:c r="E35" s="12"/>
      <x:c r="F35" s="12"/>
      <x:c r="G35" s="12"/>
      <x:c r="H35" s="12"/>
      <x:c r="I35" s="12"/>
      <x:c r="J35" s="12"/>
      <x:c r="K35" s="12"/>
      <x:c r="L35" s="12"/>
      <x:c r="M35" s="13"/>
      <x:c r="N35" s="13"/>
      <x:c r="O35" s="13"/>
      <x:c r="P35" s="12"/>
      <x:c r="Q35" s="13"/>
    </x:row>
    <x:row r="36" spans="1:17">
      <x:c r="A36" s="12"/>
      <x:c r="B36" s="12"/>
      <x:c r="C36" s="12"/>
      <x:c r="D36" s="13"/>
      <x:c r="E36" s="12"/>
      <x:c r="F36" s="12"/>
      <x:c r="G36" s="12"/>
      <x:c r="H36" s="12"/>
      <x:c r="I36" s="12"/>
      <x:c r="J36" s="12"/>
      <x:c r="K36" s="12"/>
      <x:c r="L36" s="12"/>
      <x:c r="M36" s="13"/>
      <x:c r="N36" s="13"/>
      <x:c r="O36" s="13"/>
      <x:c r="P36" s="12"/>
      <x:c r="Q36" s="13"/>
    </x:row>
    <x:row r="37" spans="1:17">
      <x:c r="A37" s="12"/>
      <x:c r="B37" s="12"/>
      <x:c r="C37" s="12"/>
      <x:c r="D37" s="13"/>
      <x:c r="E37" s="12"/>
      <x:c r="F37" s="12"/>
      <x:c r="G37" s="12"/>
      <x:c r="H37" s="12"/>
      <x:c r="I37" s="12"/>
      <x:c r="J37" s="12"/>
      <x:c r="K37" s="12"/>
      <x:c r="L37" s="12"/>
      <x:c r="M37" s="13"/>
      <x:c r="N37" s="13"/>
      <x:c r="O37" s="13"/>
      <x:c r="P37" s="12"/>
      <x:c r="Q37" s="13"/>
    </x:row>
    <x:row r="38" spans="1:17">
      <x:c r="A38" s="12"/>
      <x:c r="B38" s="12"/>
      <x:c r="C38" s="12"/>
      <x:c r="D38" s="13"/>
      <x:c r="E38" s="12"/>
      <x:c r="F38" s="12"/>
      <x:c r="G38" s="12"/>
      <x:c r="H38" s="12"/>
      <x:c r="I38" s="12"/>
      <x:c r="J38" s="12"/>
      <x:c r="K38" s="12"/>
      <x:c r="L38" s="12"/>
      <x:c r="M38" s="13"/>
      <x:c r="N38" s="13"/>
      <x:c r="O38" s="13"/>
      <x:c r="P38" s="12"/>
      <x:c r="Q38" s="13"/>
    </x:row>
    <x:row r="39" spans="1:17">
      <x:c r="A39" s="12"/>
      <x:c r="B39" s="12"/>
      <x:c r="C39" s="12"/>
      <x:c r="D39" s="13"/>
      <x:c r="E39" s="12"/>
      <x:c r="F39" s="12"/>
      <x:c r="G39" s="12"/>
      <x:c r="H39" s="12"/>
      <x:c r="I39" s="12"/>
      <x:c r="J39" s="12"/>
      <x:c r="K39" s="12"/>
      <x:c r="L39" s="12"/>
      <x:c r="M39" s="13"/>
      <x:c r="N39" s="13"/>
      <x:c r="O39" s="13"/>
      <x:c r="P39" s="12"/>
      <x:c r="Q39" s="13"/>
    </x:row>
    <x:row r="40" spans="1:17">
      <x:c r="A40" s="12"/>
      <x:c r="B40" s="12"/>
      <x:c r="C40" s="12"/>
      <x:c r="D40" s="13"/>
      <x:c r="E40" s="12"/>
      <x:c r="F40" s="12"/>
      <x:c r="G40" s="12"/>
      <x:c r="H40" s="12"/>
      <x:c r="I40" s="12"/>
      <x:c r="J40" s="12"/>
      <x:c r="K40" s="12"/>
      <x:c r="L40" s="12"/>
      <x:c r="M40" s="13"/>
      <x:c r="N40" s="13"/>
      <x:c r="O40" s="13"/>
      <x:c r="P40" s="12"/>
      <x:c r="Q40" s="13"/>
    </x:row>
    <x:row r="41" spans="1:17">
      <x:c r="A41" s="12"/>
      <x:c r="B41" s="12"/>
      <x:c r="C41" s="12"/>
      <x:c r="D41" s="13"/>
      <x:c r="E41" s="12"/>
      <x:c r="F41" s="12"/>
      <x:c r="G41" s="12"/>
      <x:c r="H41" s="12"/>
      <x:c r="I41" s="12"/>
      <x:c r="J41" s="12"/>
      <x:c r="K41" s="12"/>
      <x:c r="L41" s="12"/>
      <x:c r="M41" s="13"/>
      <x:c r="N41" s="13"/>
      <x:c r="O41" s="13"/>
      <x:c r="P41" s="12"/>
      <x:c r="Q41" s="13"/>
    </x:row>
    <x:row r="42" spans="1:17">
      <x:c r="A42" s="12"/>
      <x:c r="B42" s="12"/>
      <x:c r="C42" s="12"/>
      <x:c r="D42" s="13"/>
      <x:c r="E42" s="12"/>
      <x:c r="F42" s="12"/>
      <x:c r="G42" s="12"/>
      <x:c r="H42" s="12"/>
      <x:c r="I42" s="12"/>
      <x:c r="J42" s="12"/>
      <x:c r="K42" s="12"/>
      <x:c r="L42" s="12"/>
      <x:c r="M42" s="13"/>
      <x:c r="N42" s="13"/>
      <x:c r="O42" s="13"/>
      <x:c r="P42" s="12"/>
      <x:c r="Q42" s="13"/>
    </x:row>
    <x:row r="43" spans="1:17">
      <x:c r="A43" s="12"/>
      <x:c r="B43" s="12"/>
      <x:c r="C43" s="12"/>
      <x:c r="D43" s="13"/>
      <x:c r="E43" s="12"/>
      <x:c r="F43" s="12"/>
      <x:c r="G43" s="12"/>
      <x:c r="H43" s="12"/>
      <x:c r="I43" s="12"/>
      <x:c r="J43" s="12"/>
      <x:c r="K43" s="12"/>
      <x:c r="L43" s="12"/>
      <x:c r="M43" s="13"/>
      <x:c r="N43" s="13"/>
      <x:c r="O43" s="13"/>
      <x:c r="P43" s="12"/>
      <x:c r="Q43" s="13"/>
    </x:row>
  </x:sheetData>
  <x:dataValidations count="2">
    <x:dataValidation type="list" errorStyle="stop" operator="between" allowBlank="1" showDropDown="0" showInputMessage="1" showErrorMessage="1" errorTitle="" error="" promptTitle="" prompt="" sqref="C4:C43">
      <x:formula1>"Battle,Event"</x:formula1>
      <x:formula2/>
    </x:dataValidation>
    <x:dataValidation type="list" errorStyle="stop" operator="between" allowBlank="1" showDropDown="0" showInputMessage="1" showErrorMessage="1" errorTitle="" error="" promptTitle="" prompt="" sqref="J4:L43">
      <x:formula1>"TRUE,FALSE"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48"/>
  <x:sheetViews>
    <x:sheetView showGridLines="0" workbookViewId="0">
      <x:pane xSplit="0" ySplit="3" topLeftCell="A4" activePane="bottomLeft" state="frozenSplit"/>
    </x:sheetView>
  </x:sheetViews>
  <x:sheetFormatPr defaultRowHeight="15"/>
  <x:cols>
    <x:col min="8" max="16384" width="9.140625" style="1" customWidth="1"/>
    <x:col min="1" max="1" width="24.710625" style="1" customWidth="1"/>
    <x:col min="2" max="2" width="30.710625" style="1" customWidth="1"/>
    <x:col min="3" max="3" width="26.710625" style="1" customWidth="1"/>
    <x:col min="4" max="4" width="34.710625" style="1" customWidth="1"/>
    <x:col min="5" max="5" width="24.710625" style="1" customWidth="1"/>
    <x:col min="6" max="6" width="44.710625" style="1" customWidth="1"/>
    <x:col min="7" max="7" width="30.710625" style="1" customWidth="1"/>
  </x:cols>
  <x:sheetData>
    <x:row r="1" spans="1:7">
      <x:c r="A1" s="2" t="s">
        <x:v>51</x:v>
      </x:c>
    </x:row>
    <x:row r="2" spans="1:7">
      <x:c r="A2" s="3" t="s">
        <x:v>52</x:v>
      </x:c>
    </x:row>
    <x:row r="3" spans="1:7" ht="30" customHeight="1">
      <x:c r="A3" s="9" t="s">
        <x:v>53</x:v>
      </x:c>
      <x:c r="B3" s="9" t="s">
        <x:v>54</x:v>
      </x:c>
      <x:c r="C3" s="9" t="s">
        <x:v>55</x:v>
      </x:c>
      <x:c r="D3" s="9" t="s">
        <x:v>56</x:v>
      </x:c>
      <x:c r="E3" s="9" t="s">
        <x:v>57</x:v>
      </x:c>
      <x:c r="F3" s="9" t="s">
        <x:v>58</x:v>
      </x:c>
      <x:c r="G3" s="9" t="s">
        <x:v>41</x:v>
      </x:c>
    </x:row>
    <x:row r="4" spans="1:7">
      <x:c r="A4" s="10" t="s">
        <x:v>59</x:v>
      </x:c>
      <x:c r="B4" s="10" t="s">
        <x:v>60</x:v>
      </x:c>
      <x:c r="C4" s="11" t="s">
        <x:v>49</x:v>
      </x:c>
      <x:c r="D4" s="11" t="s">
        <x:v>61</x:v>
      </x:c>
      <x:c r="E4" s="10" t="s">
        <x:v>49</x:v>
      </x:c>
      <x:c r="F4" s="11" t="s">
        <x:v>62</x:v>
      </x:c>
      <x:c r="G4" s="11" t="s">
        <x:v>63</x:v>
      </x:c>
    </x:row>
    <x:row r="5" spans="1:7">
      <x:c r="A5" s="10" t="s">
        <x:v>59</x:v>
      </x:c>
      <x:c r="B5" s="10" t="s">
        <x:v>64</x:v>
      </x:c>
      <x:c r="C5" s="11" t="s">
        <x:v>49</x:v>
      </x:c>
      <x:c r="D5" s="11" t="s">
        <x:v>65</x:v>
      </x:c>
      <x:c r="E5" s="10" t="s">
        <x:v>66</x:v>
      </x:c>
      <x:c r="F5" s="11" t="s">
        <x:v>67</x:v>
      </x:c>
      <x:c r="G5" s="11" t="s">
        <x:v>68</x:v>
      </x:c>
    </x:row>
    <x:row r="6" spans="1:7">
      <x:c r="A6" s="10" t="s">
        <x:v>59</x:v>
      </x:c>
      <x:c r="B6" s="10" t="s">
        <x:v>69</x:v>
      </x:c>
      <x:c r="C6" s="11" t="s">
        <x:v>70</x:v>
      </x:c>
      <x:c r="D6" s="11" t="s">
        <x:v>71</x:v>
      </x:c>
      <x:c r="E6" s="10" t="s">
        <x:v>49</x:v>
      </x:c>
      <x:c r="F6" s="11" t="s">
        <x:v>72</x:v>
      </x:c>
      <x:c r="G6" s="11" t="s">
        <x:v>73</x:v>
      </x:c>
    </x:row>
    <x:row r="7" spans="1:7">
      <x:c r="A7" s="12"/>
      <x:c r="B7" s="12"/>
      <x:c r="C7" s="13"/>
      <x:c r="D7" s="13"/>
      <x:c r="E7" s="12"/>
      <x:c r="F7" s="13"/>
      <x:c r="G7" s="13"/>
    </x:row>
    <x:row r="8" spans="1:7">
      <x:c r="A8" s="12"/>
      <x:c r="B8" s="12"/>
      <x:c r="C8" s="13"/>
      <x:c r="D8" s="13"/>
      <x:c r="E8" s="12"/>
      <x:c r="F8" s="13"/>
      <x:c r="G8" s="13"/>
    </x:row>
    <x:row r="9" spans="1:7">
      <x:c r="A9" s="12"/>
      <x:c r="B9" s="12"/>
      <x:c r="C9" s="13"/>
      <x:c r="D9" s="13"/>
      <x:c r="E9" s="12"/>
      <x:c r="F9" s="13"/>
      <x:c r="G9" s="13"/>
    </x:row>
    <x:row r="10" spans="1:7">
      <x:c r="A10" s="12"/>
      <x:c r="B10" s="12"/>
      <x:c r="C10" s="13"/>
      <x:c r="D10" s="13"/>
      <x:c r="E10" s="12"/>
      <x:c r="F10" s="13"/>
      <x:c r="G10" s="13"/>
    </x:row>
    <x:row r="11" spans="1:7">
      <x:c r="A11" s="12"/>
      <x:c r="B11" s="12"/>
      <x:c r="C11" s="13"/>
      <x:c r="D11" s="13"/>
      <x:c r="E11" s="12"/>
      <x:c r="F11" s="13"/>
      <x:c r="G11" s="13"/>
    </x:row>
    <x:row r="12" spans="1:7">
      <x:c r="A12" s="12"/>
      <x:c r="B12" s="12"/>
      <x:c r="C12" s="13"/>
      <x:c r="D12" s="13"/>
      <x:c r="E12" s="12"/>
      <x:c r="F12" s="13"/>
      <x:c r="G12" s="13"/>
    </x:row>
    <x:row r="13" spans="1:7">
      <x:c r="A13" s="12"/>
      <x:c r="B13" s="12"/>
      <x:c r="C13" s="13"/>
      <x:c r="D13" s="13"/>
      <x:c r="E13" s="12"/>
      <x:c r="F13" s="13"/>
      <x:c r="G13" s="13"/>
    </x:row>
    <x:row r="14" spans="1:7">
      <x:c r="A14" s="12"/>
      <x:c r="B14" s="12"/>
      <x:c r="C14" s="13"/>
      <x:c r="D14" s="13"/>
      <x:c r="E14" s="12"/>
      <x:c r="F14" s="13"/>
      <x:c r="G14" s="13"/>
    </x:row>
    <x:row r="15" spans="1:7">
      <x:c r="A15" s="12"/>
      <x:c r="B15" s="12"/>
      <x:c r="C15" s="13"/>
      <x:c r="D15" s="13"/>
      <x:c r="E15" s="12"/>
      <x:c r="F15" s="13"/>
      <x:c r="G15" s="13"/>
    </x:row>
    <x:row r="16" spans="1:7">
      <x:c r="A16" s="12"/>
      <x:c r="B16" s="12"/>
      <x:c r="C16" s="13"/>
      <x:c r="D16" s="13"/>
      <x:c r="E16" s="12"/>
      <x:c r="F16" s="13"/>
      <x:c r="G16" s="13"/>
    </x:row>
    <x:row r="17" spans="1:7">
      <x:c r="A17" s="12"/>
      <x:c r="B17" s="12"/>
      <x:c r="C17" s="13"/>
      <x:c r="D17" s="13"/>
      <x:c r="E17" s="12"/>
      <x:c r="F17" s="13"/>
      <x:c r="G17" s="13"/>
    </x:row>
    <x:row r="18" spans="1:7">
      <x:c r="A18" s="12"/>
      <x:c r="B18" s="12"/>
      <x:c r="C18" s="13"/>
      <x:c r="D18" s="13"/>
      <x:c r="E18" s="12"/>
      <x:c r="F18" s="13"/>
      <x:c r="G18" s="13"/>
    </x:row>
    <x:row r="19" spans="1:7">
      <x:c r="A19" s="12"/>
      <x:c r="B19" s="12"/>
      <x:c r="C19" s="13"/>
      <x:c r="D19" s="13"/>
      <x:c r="E19" s="12"/>
      <x:c r="F19" s="13"/>
      <x:c r="G19" s="13"/>
    </x:row>
    <x:row r="20" spans="1:7">
      <x:c r="A20" s="12"/>
      <x:c r="B20" s="12"/>
      <x:c r="C20" s="13"/>
      <x:c r="D20" s="13"/>
      <x:c r="E20" s="12"/>
      <x:c r="F20" s="13"/>
      <x:c r="G20" s="13"/>
    </x:row>
    <x:row r="21" spans="1:7">
      <x:c r="A21" s="12"/>
      <x:c r="B21" s="12"/>
      <x:c r="C21" s="13"/>
      <x:c r="D21" s="13"/>
      <x:c r="E21" s="12"/>
      <x:c r="F21" s="13"/>
      <x:c r="G21" s="13"/>
    </x:row>
    <x:row r="22" spans="1:7">
      <x:c r="A22" s="12"/>
      <x:c r="B22" s="12"/>
      <x:c r="C22" s="13"/>
      <x:c r="D22" s="13"/>
      <x:c r="E22" s="12"/>
      <x:c r="F22" s="13"/>
      <x:c r="G22" s="13"/>
    </x:row>
    <x:row r="23" spans="1:7">
      <x:c r="A23" s="12"/>
      <x:c r="B23" s="12"/>
      <x:c r="C23" s="13"/>
      <x:c r="D23" s="13"/>
      <x:c r="E23" s="12"/>
      <x:c r="F23" s="13"/>
      <x:c r="G23" s="13"/>
    </x:row>
    <x:row r="24" spans="1:7">
      <x:c r="A24" s="12"/>
      <x:c r="B24" s="12"/>
      <x:c r="C24" s="13"/>
      <x:c r="D24" s="13"/>
      <x:c r="E24" s="12"/>
      <x:c r="F24" s="13"/>
      <x:c r="G24" s="13"/>
    </x:row>
    <x:row r="25" spans="1:7">
      <x:c r="A25" s="12"/>
      <x:c r="B25" s="12"/>
      <x:c r="C25" s="13"/>
      <x:c r="D25" s="13"/>
      <x:c r="E25" s="12"/>
      <x:c r="F25" s="13"/>
      <x:c r="G25" s="13"/>
    </x:row>
    <x:row r="26" spans="1:7">
      <x:c r="A26" s="12"/>
      <x:c r="B26" s="12"/>
      <x:c r="C26" s="13"/>
      <x:c r="D26" s="13"/>
      <x:c r="E26" s="12"/>
      <x:c r="F26" s="13"/>
      <x:c r="G26" s="13"/>
    </x:row>
    <x:row r="27" spans="1:7">
      <x:c r="A27" s="12"/>
      <x:c r="B27" s="12"/>
      <x:c r="C27" s="13"/>
      <x:c r="D27" s="13"/>
      <x:c r="E27" s="12"/>
      <x:c r="F27" s="13"/>
      <x:c r="G27" s="13"/>
    </x:row>
    <x:row r="28" spans="1:7">
      <x:c r="A28" s="12"/>
      <x:c r="B28" s="12"/>
      <x:c r="C28" s="13"/>
      <x:c r="D28" s="13"/>
      <x:c r="E28" s="12"/>
      <x:c r="F28" s="13"/>
      <x:c r="G28" s="13"/>
    </x:row>
    <x:row r="29" spans="1:7">
      <x:c r="A29" s="12"/>
      <x:c r="B29" s="12"/>
      <x:c r="C29" s="13"/>
      <x:c r="D29" s="13"/>
      <x:c r="E29" s="12"/>
      <x:c r="F29" s="13"/>
      <x:c r="G29" s="13"/>
    </x:row>
    <x:row r="30" spans="1:7">
      <x:c r="A30" s="12"/>
      <x:c r="B30" s="12"/>
      <x:c r="C30" s="13"/>
      <x:c r="D30" s="13"/>
      <x:c r="E30" s="12"/>
      <x:c r="F30" s="13"/>
      <x:c r="G30" s="13"/>
    </x:row>
    <x:row r="31" spans="1:7">
      <x:c r="A31" s="12"/>
      <x:c r="B31" s="12"/>
      <x:c r="C31" s="13"/>
      <x:c r="D31" s="13"/>
      <x:c r="E31" s="12"/>
      <x:c r="F31" s="13"/>
      <x:c r="G31" s="13"/>
    </x:row>
    <x:row r="32" spans="1:7">
      <x:c r="A32" s="12"/>
      <x:c r="B32" s="12"/>
      <x:c r="C32" s="13"/>
      <x:c r="D32" s="13"/>
      <x:c r="E32" s="12"/>
      <x:c r="F32" s="13"/>
      <x:c r="G32" s="13"/>
    </x:row>
    <x:row r="33" spans="1:7">
      <x:c r="A33" s="12"/>
      <x:c r="B33" s="12"/>
      <x:c r="C33" s="13"/>
      <x:c r="D33" s="13"/>
      <x:c r="E33" s="12"/>
      <x:c r="F33" s="13"/>
      <x:c r="G33" s="13"/>
    </x:row>
    <x:row r="34" spans="1:7">
      <x:c r="A34" s="12"/>
      <x:c r="B34" s="12"/>
      <x:c r="C34" s="13"/>
      <x:c r="D34" s="13"/>
      <x:c r="E34" s="12"/>
      <x:c r="F34" s="13"/>
      <x:c r="G34" s="13"/>
    </x:row>
    <x:row r="35" spans="1:7">
      <x:c r="A35" s="12"/>
      <x:c r="B35" s="12"/>
      <x:c r="C35" s="13"/>
      <x:c r="D35" s="13"/>
      <x:c r="E35" s="12"/>
      <x:c r="F35" s="13"/>
      <x:c r="G35" s="13"/>
    </x:row>
    <x:row r="36" spans="1:7">
      <x:c r="A36" s="12"/>
      <x:c r="B36" s="12"/>
      <x:c r="C36" s="13"/>
      <x:c r="D36" s="13"/>
      <x:c r="E36" s="12"/>
      <x:c r="F36" s="13"/>
      <x:c r="G36" s="13"/>
    </x:row>
    <x:row r="37" spans="1:7">
      <x:c r="A37" s="12"/>
      <x:c r="B37" s="12"/>
      <x:c r="C37" s="13"/>
      <x:c r="D37" s="13"/>
      <x:c r="E37" s="12"/>
      <x:c r="F37" s="13"/>
      <x:c r="G37" s="13"/>
    </x:row>
    <x:row r="38" spans="1:7">
      <x:c r="A38" s="12"/>
      <x:c r="B38" s="12"/>
      <x:c r="C38" s="13"/>
      <x:c r="D38" s="13"/>
      <x:c r="E38" s="12"/>
      <x:c r="F38" s="13"/>
      <x:c r="G38" s="13"/>
    </x:row>
    <x:row r="39" spans="1:7">
      <x:c r="A39" s="12"/>
      <x:c r="B39" s="12"/>
      <x:c r="C39" s="13"/>
      <x:c r="D39" s="13"/>
      <x:c r="E39" s="12"/>
      <x:c r="F39" s="13"/>
      <x:c r="G39" s="13"/>
    </x:row>
    <x:row r="40" spans="1:7">
      <x:c r="A40" s="12"/>
      <x:c r="B40" s="12"/>
      <x:c r="C40" s="13"/>
      <x:c r="D40" s="13"/>
      <x:c r="E40" s="12"/>
      <x:c r="F40" s="13"/>
      <x:c r="G40" s="13"/>
    </x:row>
    <x:row r="41" spans="1:7">
      <x:c r="A41" s="12"/>
      <x:c r="B41" s="12"/>
      <x:c r="C41" s="13"/>
      <x:c r="D41" s="13"/>
      <x:c r="E41" s="12"/>
      <x:c r="F41" s="13"/>
      <x:c r="G41" s="13"/>
    </x:row>
    <x:row r="42" spans="1:7">
      <x:c r="A42" s="12"/>
      <x:c r="B42" s="12"/>
      <x:c r="C42" s="13"/>
      <x:c r="D42" s="13"/>
      <x:c r="E42" s="12"/>
      <x:c r="F42" s="13"/>
      <x:c r="G42" s="13"/>
    </x:row>
    <x:row r="43" spans="1:7">
      <x:c r="A43" s="12"/>
      <x:c r="B43" s="12"/>
      <x:c r="C43" s="13"/>
      <x:c r="D43" s="13"/>
      <x:c r="E43" s="12"/>
      <x:c r="F43" s="13"/>
      <x:c r="G43" s="13"/>
    </x:row>
    <x:row r="44" spans="1:7">
      <x:c r="A44" s="12"/>
      <x:c r="B44" s="12"/>
      <x:c r="C44" s="13"/>
      <x:c r="D44" s="13"/>
      <x:c r="E44" s="12"/>
      <x:c r="F44" s="13"/>
      <x:c r="G44" s="13"/>
    </x:row>
    <x:row r="45" spans="1:7">
      <x:c r="A45" s="12"/>
      <x:c r="B45" s="12"/>
      <x:c r="C45" s="13"/>
      <x:c r="D45" s="13"/>
      <x:c r="E45" s="12"/>
      <x:c r="F45" s="13"/>
      <x:c r="G45" s="13"/>
    </x:row>
    <x:row r="46" spans="1:7">
      <x:c r="A46" s="12"/>
      <x:c r="B46" s="12"/>
      <x:c r="C46" s="13"/>
      <x:c r="D46" s="13"/>
      <x:c r="E46" s="12"/>
      <x:c r="F46" s="13"/>
      <x:c r="G46" s="13"/>
    </x:row>
    <x:row r="47" spans="1:7">
      <x:c r="A47" s="12"/>
      <x:c r="B47" s="12"/>
      <x:c r="C47" s="13"/>
      <x:c r="D47" s="13"/>
      <x:c r="E47" s="12"/>
      <x:c r="F47" s="13"/>
      <x:c r="G47" s="13"/>
    </x:row>
    <x:row r="48" spans="1:7">
      <x:c r="A48" s="12"/>
      <x:c r="B48" s="12"/>
      <x:c r="C48" s="13"/>
      <x:c r="D48" s="13"/>
      <x:c r="E48" s="12"/>
      <x:c r="F48" s="13"/>
      <x:c r="G48" s="13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4"/>
  <x:sheetViews>
    <x:sheetView showGridLines="0" workbookViewId="0">
      <x:pane xSplit="0" ySplit="3" topLeftCell="A4" activePane="bottomLeft" state="frozenSplit"/>
    </x:sheetView>
  </x:sheetViews>
  <x:sheetFormatPr defaultRowHeight="15"/>
  <x:cols>
    <x:col min="5" max="16384" width="9.140625" style="1" customWidth="1"/>
    <x:col min="1" max="1" width="14.710625" style="1" customWidth="1"/>
    <x:col min="2" max="2" width="30.710625" style="1" customWidth="1"/>
    <x:col min="3" max="3" width="52.710625" style="1" customWidth="1"/>
    <x:col min="4" max="4" width="46.710625" style="1" customWidth="1"/>
  </x:cols>
  <x:sheetData>
    <x:row r="1" spans="1:4">
      <x:c r="A1" s="2" t="s">
        <x:v>101</x:v>
      </x:c>
    </x:row>
    <x:row r="2" spans="1:4">
      <x:c r="A2" s="3" t="s">
        <x:v>102</x:v>
      </x:c>
    </x:row>
    <x:row r="3" spans="1:4" ht="30" customHeight="1">
      <x:c r="A3" s="9" t="s">
        <x:v>103</x:v>
      </x:c>
      <x:c r="B3" s="9" t="s">
        <x:v>104</x:v>
      </x:c>
      <x:c r="C3" s="9" t="s">
        <x:v>105</x:v>
      </x:c>
      <x:c r="D3" s="9" t="s">
        <x:v>106</x:v>
      </x:c>
    </x:row>
    <x:row r="4" spans="1:4">
      <x:c r="A4" s="14" t="s">
        <x:v>107</x:v>
      </x:c>
      <x:c r="B4" s="17" t="s">
        <x:v>108</x:v>
      </x:c>
      <x:c r="C4" s="18" t="s">
        <x:v>109</x:v>
      </x:c>
      <x:c r="D4" s="18" t="s">
        <x:v>110</x:v>
      </x:c>
    </x:row>
    <x:row r="5" spans="1:4">
      <x:c r="A5" s="14" t="s">
        <x:v>107</x:v>
      </x:c>
      <x:c r="B5" s="17" t="s">
        <x:v>111</x:v>
      </x:c>
      <x:c r="C5" s="18" t="s">
        <x:v>112</x:v>
      </x:c>
      <x:c r="D5" s="18" t="s">
        <x:v>113</x:v>
      </x:c>
    </x:row>
    <x:row r="6" spans="1:4">
      <x:c r="A6" s="14" t="s">
        <x:v>107</x:v>
      </x:c>
      <x:c r="B6" s="17" t="s">
        <x:v>114</x:v>
      </x:c>
      <x:c r="C6" s="18" t="s">
        <x:v>115</x:v>
      </x:c>
      <x:c r="D6" s="18" t="s">
        <x:v>116</x:v>
      </x:c>
    </x:row>
    <x:row r="7" spans="1:4">
      <x:c r="A7" s="14" t="s">
        <x:v>107</x:v>
      </x:c>
      <x:c r="B7" s="17" t="s">
        <x:v>117</x:v>
      </x:c>
      <x:c r="C7" s="18" t="s">
        <x:v>118</x:v>
      </x:c>
      <x:c r="D7" s="18" t="s">
        <x:v>119</x:v>
      </x:c>
    </x:row>
    <x:row r="8" spans="1:4">
      <x:c r="A8" s="14" t="s">
        <x:v>107</x:v>
      </x:c>
      <x:c r="B8" s="17" t="s">
        <x:v>120</x:v>
      </x:c>
      <x:c r="C8" s="18" t="s">
        <x:v>121</x:v>
      </x:c>
      <x:c r="D8" s="18" t="s">
        <x:v>122</x:v>
      </x:c>
    </x:row>
    <x:row r="9" spans="1:4">
      <x:c r="A9" s="14" t="s">
        <x:v>107</x:v>
      </x:c>
      <x:c r="B9" s="17" t="s">
        <x:v>123</x:v>
      </x:c>
      <x:c r="C9" s="18" t="s">
        <x:v>124</x:v>
      </x:c>
      <x:c r="D9" s="18" t="s">
        <x:v>125</x:v>
      </x:c>
    </x:row>
    <x:row r="10" spans="1:4">
      <x:c r="A10" s="14" t="s">
        <x:v>107</x:v>
      </x:c>
      <x:c r="B10" s="17" t="s">
        <x:v>126</x:v>
      </x:c>
      <x:c r="C10" s="18" t="s">
        <x:v>127</x:v>
      </x:c>
      <x:c r="D10" s="18" t="s">
        <x:v>128</x:v>
      </x:c>
    </x:row>
    <x:row r="11" spans="1:4">
      <x:c r="A11" s="14" t="s">
        <x:v>107</x:v>
      </x:c>
      <x:c r="B11" s="17" t="s">
        <x:v>129</x:v>
      </x:c>
      <x:c r="C11" s="18" t="s">
        <x:v>130</x:v>
      </x:c>
      <x:c r="D11" s="18" t="s">
        <x:v>131</x:v>
      </x:c>
    </x:row>
    <x:row r="12" spans="1:4">
      <x:c r="A12" s="14" t="s">
        <x:v>107</x:v>
      </x:c>
      <x:c r="B12" s="17" t="s">
        <x:v>132</x:v>
      </x:c>
      <x:c r="C12" s="18" t="s">
        <x:v>133</x:v>
      </x:c>
      <x:c r="D12" s="18" t="s">
        <x:v>134</x:v>
      </x:c>
    </x:row>
    <x:row r="13" spans="1:4">
      <x:c r="A13" s="14" t="s">
        <x:v>107</x:v>
      </x:c>
      <x:c r="B13" s="17" t="s">
        <x:v>135</x:v>
      </x:c>
      <x:c r="C13" s="18" t="s">
        <x:v>136</x:v>
      </x:c>
      <x:c r="D13" s="18" t="s">
        <x:v>137</x:v>
      </x:c>
    </x:row>
    <x:row r="14" spans="1:4">
      <x:c r="A14" s="19" t="s">
        <x:v>49</x:v>
      </x:c>
      <x:c r="B14" s="19" t="s">
        <x:v>49</x:v>
      </x:c>
      <x:c r="C14" s="20" t="s">
        <x:v>49</x:v>
      </x:c>
      <x:c r="D14" s="20" t="s">
        <x:v>49</x:v>
      </x:c>
    </x:row>
    <x:row r="15" spans="1:4">
      <x:c r="A15" s="14" t="s">
        <x:v>138</x:v>
      </x:c>
      <x:c r="B15" s="17" t="s">
        <x:v>139</x:v>
      </x:c>
      <x:c r="C15" s="18" t="s">
        <x:v>140</x:v>
      </x:c>
      <x:c r="D15" s="18" t="s">
        <x:v>141</x:v>
      </x:c>
    </x:row>
    <x:row r="16" spans="1:4">
      <x:c r="A16" s="14" t="s">
        <x:v>138</x:v>
      </x:c>
      <x:c r="B16" s="17" t="s">
        <x:v>142</x:v>
      </x:c>
      <x:c r="C16" s="18" t="s">
        <x:v>143</x:v>
      </x:c>
      <x:c r="D16" s="18" t="s">
        <x:v>144</x:v>
      </x:c>
    </x:row>
    <x:row r="17" spans="1:4">
      <x:c r="A17" s="14" t="s">
        <x:v>138</x:v>
      </x:c>
      <x:c r="B17" s="17" t="s">
        <x:v>145</x:v>
      </x:c>
      <x:c r="C17" s="18" t="s">
        <x:v>146</x:v>
      </x:c>
      <x:c r="D17" s="18" t="s">
        <x:v>147</x:v>
      </x:c>
    </x:row>
    <x:row r="18" spans="1:4">
      <x:c r="A18" s="14" t="s">
        <x:v>138</x:v>
      </x:c>
      <x:c r="B18" s="17" t="s">
        <x:v>148</x:v>
      </x:c>
      <x:c r="C18" s="18" t="s">
        <x:v>149</x:v>
      </x:c>
      <x:c r="D18" s="18" t="s">
        <x:v>49</x:v>
      </x:c>
    </x:row>
    <x:row r="19" spans="1:4">
      <x:c r="A19" s="14" t="s">
        <x:v>138</x:v>
      </x:c>
      <x:c r="B19" s="17" t="s">
        <x:v>150</x:v>
      </x:c>
      <x:c r="C19" s="18" t="s">
        <x:v>151</x:v>
      </x:c>
      <x:c r="D19" s="18" t="s">
        <x:v>152</x:v>
      </x:c>
    </x:row>
    <x:row r="20" spans="1:4">
      <x:c r="A20" s="14" t="s">
        <x:v>138</x:v>
      </x:c>
      <x:c r="B20" s="17" t="s">
        <x:v>153</x:v>
      </x:c>
      <x:c r="C20" s="18" t="s">
        <x:v>154</x:v>
      </x:c>
      <x:c r="D20" s="18" t="s">
        <x:v>155</x:v>
      </x:c>
    </x:row>
    <x:row r="21" spans="1:4">
      <x:c r="A21" s="19" t="s">
        <x:v>49</x:v>
      </x:c>
      <x:c r="B21" s="19" t="s">
        <x:v>49</x:v>
      </x:c>
      <x:c r="C21" s="20" t="s">
        <x:v>49</x:v>
      </x:c>
      <x:c r="D21" s="20" t="s">
        <x:v>49</x:v>
      </x:c>
    </x:row>
    <x:row r="22" spans="1:4">
      <x:c r="A22" s="14" t="s">
        <x:v>156</x:v>
      </x:c>
      <x:c r="B22" s="17" t="s">
        <x:v>157</x:v>
      </x:c>
      <x:c r="C22" s="18" t="s">
        <x:v>158</x:v>
      </x:c>
      <x:c r="D22" s="18" t="s">
        <x:v>159</x:v>
      </x:c>
    </x:row>
    <x:row r="23" spans="1:4">
      <x:c r="A23" s="14" t="s">
        <x:v>156</x:v>
      </x:c>
      <x:c r="B23" s="17" t="s">
        <x:v>160</x:v>
      </x:c>
      <x:c r="C23" s="18" t="s">
        <x:v>161</x:v>
      </x:c>
      <x:c r="D23" s="18" t="s">
        <x:v>162</x:v>
      </x:c>
    </x:row>
    <x:row r="24" spans="1:4">
      <x:c r="A24" s="14" t="s">
        <x:v>156</x:v>
      </x:c>
      <x:c r="B24" s="17" t="s">
        <x:v>163</x:v>
      </x:c>
      <x:c r="C24" s="18" t="s">
        <x:v>164</x:v>
      </x:c>
      <x:c r="D24" s="18" t="s">
        <x:v>165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5"/>
  <x:sheetViews>
    <x:sheetView showGridLines="0" workbookViewId="0">
      <x:pane xSplit="0" ySplit="3" topLeftCell="A4" activePane="bottomLeft" state="frozenSplit"/>
    </x:sheetView>
  </x:sheetViews>
  <x:sheetFormatPr defaultRowHeight="15"/>
  <x:cols>
    <x:col min="6" max="16384" width="9.140625" style="1" customWidth="1"/>
    <x:col min="1" max="1" width="16.710625" style="1" customWidth="1"/>
    <x:col min="2" max="2" width="30.710625" style="1" customWidth="1"/>
    <x:col min="3" max="3" width="24.710625" style="1" customWidth="1"/>
    <x:col min="4" max="4" width="22.710625" style="1" customWidth="1"/>
    <x:col min="5" max="5" width="44.710625" style="1" customWidth="1"/>
  </x:cols>
  <x:sheetData>
    <x:row r="1" spans="1:5">
      <x:c r="A1" s="2" t="s">
        <x:v>166</x:v>
      </x:c>
    </x:row>
    <x:row r="2" spans="1:5">
      <x:c r="A2" s="3" t="s">
        <x:v>167</x:v>
      </x:c>
    </x:row>
    <x:row r="3" spans="1:5" ht="30" customHeight="1">
      <x:c r="A3" s="9" t="s">
        <x:v>168</x:v>
      </x:c>
      <x:c r="B3" s="9" t="s">
        <x:v>169</x:v>
      </x:c>
      <x:c r="C3" s="9" t="s">
        <x:v>170</x:v>
      </x:c>
      <x:c r="D3" s="9" t="s">
        <x:v>171</x:v>
      </x:c>
      <x:c r="E3" s="9" t="s">
        <x:v>172</x:v>
      </x:c>
    </x:row>
    <x:row r="4" spans="1:5">
      <x:c r="A4" s="17" t="s">
        <x:v>23</x:v>
      </x:c>
      <x:c r="B4" s="17" t="s">
        <x:v>25</x:v>
      </x:c>
      <x:c r="C4" s="17" t="s">
        <x:v>173</x:v>
      </x:c>
      <x:c r="D4" s="17" t="s">
        <x:v>174</x:v>
      </x:c>
      <x:c r="E4" s="18" t="s">
        <x:v>175</x:v>
      </x:c>
    </x:row>
    <x:row r="5" spans="1:5">
      <x:c r="A5" s="17" t="s">
        <x:v>23</x:v>
      </x:c>
      <x:c r="B5" s="17" t="s">
        <x:v>26</x:v>
      </x:c>
      <x:c r="C5" s="17" t="s">
        <x:v>176</x:v>
      </x:c>
      <x:c r="D5" s="17" t="s">
        <x:v>177</x:v>
      </x:c>
      <x:c r="E5" s="18" t="s">
        <x:v>178</x:v>
      </x:c>
    </x:row>
    <x:row r="6" spans="1:5">
      <x:c r="A6" s="17" t="s">
        <x:v>23</x:v>
      </x:c>
      <x:c r="B6" s="17" t="s">
        <x:v>179</x:v>
      </x:c>
      <x:c r="C6" s="17" t="s">
        <x:v>176</x:v>
      </x:c>
      <x:c r="D6" s="17" t="s">
        <x:v>180</x:v>
      </x:c>
      <x:c r="E6" s="18" t="s">
        <x:v>181</x:v>
      </x:c>
    </x:row>
    <x:row r="7" spans="1:5">
      <x:c r="A7" s="17" t="s">
        <x:v>23</x:v>
      </x:c>
      <x:c r="B7" s="17" t="s">
        <x:v>29</x:v>
      </x:c>
      <x:c r="C7" s="17" t="s">
        <x:v>176</x:v>
      </x:c>
      <x:c r="D7" s="17" t="s">
        <x:v>182</x:v>
      </x:c>
      <x:c r="E7" s="18" t="s">
        <x:v>183</x:v>
      </x:c>
    </x:row>
    <x:row r="8" spans="1:5">
      <x:c r="A8" s="17" t="s">
        <x:v>23</x:v>
      </x:c>
      <x:c r="B8" s="17" t="s">
        <x:v>32</x:v>
      </x:c>
      <x:c r="C8" s="17" t="s">
        <x:v>176</x:v>
      </x:c>
      <x:c r="D8" s="17" t="s">
        <x:v>184</x:v>
      </x:c>
      <x:c r="E8" s="18" t="s">
        <x:v>185</x:v>
      </x:c>
    </x:row>
    <x:row r="9" spans="1:5">
      <x:c r="A9" s="17" t="s">
        <x:v>23</x:v>
      </x:c>
      <x:c r="B9" s="17" t="s">
        <x:v>27</x:v>
      </x:c>
      <x:c r="C9" s="17" t="s">
        <x:v>186</x:v>
      </x:c>
      <x:c r="D9" s="17" t="s">
        <x:v>174</x:v>
      </x:c>
      <x:c r="E9" s="18" t="s">
        <x:v>187</x:v>
      </x:c>
    </x:row>
    <x:row r="10" spans="1:5">
      <x:c r="A10" s="17" t="s">
        <x:v>23</x:v>
      </x:c>
      <x:c r="B10" s="17" t="s">
        <x:v>37</x:v>
      </x:c>
      <x:c r="C10" s="17" t="s">
        <x:v>188</x:v>
      </x:c>
      <x:c r="D10" s="17" t="s">
        <x:v>189</x:v>
      </x:c>
      <x:c r="E10" s="18" t="s">
        <x:v>190</x:v>
      </x:c>
    </x:row>
    <x:row r="11" spans="1:5">
      <x:c r="A11" s="17" t="s">
        <x:v>23</x:v>
      </x:c>
      <x:c r="B11" s="17" t="s">
        <x:v>36</x:v>
      </x:c>
      <x:c r="C11" s="17" t="s">
        <x:v>188</x:v>
      </x:c>
      <x:c r="D11" s="17" t="s">
        <x:v>191</x:v>
      </x:c>
      <x:c r="E11" s="18" t="s">
        <x:v>192</x:v>
      </x:c>
    </x:row>
    <x:row r="12" spans="1:5">
      <x:c r="A12" s="17" t="s">
        <x:v>23</x:v>
      </x:c>
      <x:c r="B12" s="17" t="s">
        <x:v>193</x:v>
      </x:c>
      <x:c r="C12" s="17" t="s">
        <x:v>194</x:v>
      </x:c>
      <x:c r="D12" s="17" t="s">
        <x:v>195</x:v>
      </x:c>
      <x:c r="E12" s="18" t="s">
        <x:v>196</x:v>
      </x:c>
    </x:row>
    <x:row r="13" spans="1:5">
      <x:c r="A13" s="17" t="s">
        <x:v>23</x:v>
      </x:c>
      <x:c r="B13" s="17" t="s">
        <x:v>197</x:v>
      </x:c>
      <x:c r="C13" s="17" t="s">
        <x:v>194</x:v>
      </x:c>
      <x:c r="D13" s="17" t="s">
        <x:v>198</x:v>
      </x:c>
      <x:c r="E13" s="18" t="s">
        <x:v>199</x:v>
      </x:c>
    </x:row>
    <x:row r="14" spans="1:5">
      <x:c r="A14" s="17" t="s">
        <x:v>23</x:v>
      </x:c>
      <x:c r="B14" s="17" t="s">
        <x:v>34</x:v>
      </x:c>
      <x:c r="C14" s="17" t="s">
        <x:v>194</x:v>
      </x:c>
      <x:c r="D14" s="17" t="s">
        <x:v>200</x:v>
      </x:c>
      <x:c r="E14" s="18" t="s">
        <x:v>201</x:v>
      </x:c>
    </x:row>
    <x:row r="15" spans="1:5">
      <x:c r="A15" s="17" t="s">
        <x:v>23</x:v>
      </x:c>
      <x:c r="B15" s="17" t="s">
        <x:v>35</x:v>
      </x:c>
      <x:c r="C15" s="17" t="s">
        <x:v>194</x:v>
      </x:c>
      <x:c r="D15" s="17" t="s">
        <x:v>202</x:v>
      </x:c>
      <x:c r="E15" s="18" t="s">
        <x:v>203</x:v>
      </x:c>
    </x:row>
    <x:row r="16" spans="1:5">
      <x:c r="A16" s="17" t="s">
        <x:v>23</x:v>
      </x:c>
      <x:c r="B16" s="17" t="s">
        <x:v>55</x:v>
      </x:c>
      <x:c r="C16" s="17" t="s">
        <x:v>194</x:v>
      </x:c>
      <x:c r="D16" s="17" t="s">
        <x:v>204</x:v>
      </x:c>
      <x:c r="E16" s="18" t="s">
        <x:v>205</x:v>
      </x:c>
    </x:row>
    <x:row r="17" spans="1:5">
      <x:c r="A17" s="17" t="s">
        <x:v>23</x:v>
      </x:c>
      <x:c r="B17" s="17" t="s">
        <x:v>206</x:v>
      </x:c>
      <x:c r="C17" s="17" t="s">
        <x:v>194</x:v>
      </x:c>
      <x:c r="D17" s="17" t="s">
        <x:v>207</x:v>
      </x:c>
      <x:c r="E17" s="18" t="s">
        <x:v>208</x:v>
      </x:c>
    </x:row>
    <x:row r="18" spans="1:5">
      <x:c r="A18" s="17" t="s">
        <x:v>51</x:v>
      </x:c>
      <x:c r="B18" s="17" t="s">
        <x:v>54</x:v>
      </x:c>
      <x:c r="C18" s="17" t="s">
        <x:v>209</x:v>
      </x:c>
      <x:c r="D18" s="17" t="s">
        <x:v>210</x:v>
      </x:c>
      <x:c r="E18" s="18" t="s">
        <x:v>211</x:v>
      </x:c>
    </x:row>
    <x:row r="19" spans="1:5">
      <x:c r="A19" s="17" t="s">
        <x:v>51</x:v>
      </x:c>
      <x:c r="B19" s="17" t="s">
        <x:v>55</x:v>
      </x:c>
      <x:c r="C19" s="17" t="s">
        <x:v>209</x:v>
      </x:c>
      <x:c r="D19" s="17" t="s">
        <x:v>204</x:v>
      </x:c>
      <x:c r="E19" s="18" t="s">
        <x:v>212</x:v>
      </x:c>
    </x:row>
    <x:row r="20" spans="1:5">
      <x:c r="A20" s="17" t="s">
        <x:v>51</x:v>
      </x:c>
      <x:c r="B20" s="17" t="s">
        <x:v>56</x:v>
      </x:c>
      <x:c r="C20" s="17" t="s">
        <x:v>209</x:v>
      </x:c>
      <x:c r="D20" s="17" t="s">
        <x:v>213</x:v>
      </x:c>
      <x:c r="E20" s="18" t="s">
        <x:v>214</x:v>
      </x:c>
    </x:row>
    <x:row r="21" spans="1:5">
      <x:c r="A21" s="17" t="s">
        <x:v>51</x:v>
      </x:c>
      <x:c r="B21" s="17" t="s">
        <x:v>58</x:v>
      </x:c>
      <x:c r="C21" s="17" t="s">
        <x:v>209</x:v>
      </x:c>
      <x:c r="D21" s="17" t="s">
        <x:v>215</x:v>
      </x:c>
      <x:c r="E21" s="18" t="s">
        <x:v>216</x:v>
      </x:c>
    </x:row>
    <x:row r="22" spans="1:5">
      <x:c r="A22" s="17" t="s">
        <x:v>51</x:v>
      </x:c>
      <x:c r="B22" s="17" t="s">
        <x:v>217</x:v>
      </x:c>
      <x:c r="C22" s="17" t="s">
        <x:v>132</x:v>
      </x:c>
      <x:c r="D22" s="17" t="s">
        <x:v>218</x:v>
      </x:c>
      <x:c r="E22" s="18" t="s">
        <x:v>219</x:v>
      </x:c>
    </x:row>
    <x:row r="23" spans="1:5">
      <x:c r="A23" s="17" t="s">
        <x:v>220</x:v>
      </x:c>
      <x:c r="B23" s="17" t="s">
        <x:v>78</x:v>
      </x:c>
      <x:c r="C23" s="17" t="s">
        <x:v>221</x:v>
      </x:c>
      <x:c r="D23" s="17" t="s">
        <x:v>222</x:v>
      </x:c>
      <x:c r="E23" s="18" t="s">
        <x:v>223</x:v>
      </x:c>
    </x:row>
    <x:row r="24" spans="1:5">
      <x:c r="A24" s="17" t="s">
        <x:v>220</x:v>
      </x:c>
      <x:c r="B24" s="17" t="s">
        <x:v>79</x:v>
      </x:c>
      <x:c r="C24" s="17" t="s">
        <x:v>224</x:v>
      </x:c>
      <x:c r="D24" s="17" t="s">
        <x:v>225</x:v>
      </x:c>
      <x:c r="E24" s="18" t="s">
        <x:v>226</x:v>
      </x:c>
    </x:row>
    <x:row r="25" spans="1:5">
      <x:c r="A25" s="17" t="s">
        <x:v>220</x:v>
      </x:c>
      <x:c r="B25" s="17" t="s">
        <x:v>227</x:v>
      </x:c>
      <x:c r="C25" s="17" t="s">
        <x:v>228</x:v>
      </x:c>
      <x:c r="D25" s="17" t="s">
        <x:v>229</x:v>
      </x:c>
      <x:c r="E25" s="18" t="s">
        <x:v>230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8">
      <vt:lpstr>README</vt:lpstr>
      <vt:lpstr>Day Plan</vt:lpstr>
      <vt:lpstr>Encounters</vt:lpstr>
      <vt:lpstr>Event Options</vt:lpstr>
      <vt:lpstr>Reference</vt:lpstr>
      <vt:lpstr>Field Map</vt:lpstr>
      <vt:lpstr>README!Print_Area</vt:lpstr>
      <vt:lpstr>README!Print_Titles</vt:lpstr>
      <vt:lpstr>Encounters!Print_Area</vt:lpstr>
      <vt:lpstr>Encounters!Print_Titles</vt:lpstr>
      <vt:lpstr>Event Options!Print_Area</vt:lpstr>
      <vt:lpstr>Event Options!Print_Titles</vt:lpstr>
      <vt:lpstr>Day Plan!Print_Area</vt:lpstr>
      <vt:lpstr>Day Plan!Print_Titles</vt:lpstr>
      <vt:lpstr>Reference!Print_Area</vt:lpstr>
      <vt:lpstr>Reference!Print_Titles</vt:lpstr>
      <vt:lpstr>Field Map!Print_Area</vt:lpstr>
      <vt:lpstr>Field Map!Print_Titles</vt:lpstr>
    </vt:vector>
  </ap:TitlesOfParts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ap:HeadingPairs>
  <ap:DocSecurity>0</ap:DocSecurity>
  <ap:ScaleCrop>false</ap:ScaleCrop>
</ap:Properties>
</file>